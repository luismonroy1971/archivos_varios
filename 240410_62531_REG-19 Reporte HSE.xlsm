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202300"/>
  <mc:AlternateContent xmlns:mc="http://schemas.openxmlformats.org/markup-compatibility/2006">
    <mc:Choice Requires="x15">
      <x15ac:absPath xmlns:x15ac="http://schemas.microsoft.com/office/spreadsheetml/2010/11/ac" url="C:\Users\lmonroy\Tema\Archivos\"/>
    </mc:Choice>
  </mc:AlternateContent>
  <xr:revisionPtr revIDLastSave="0" documentId="13_ncr:1_{FE39013C-A946-415D-90E5-BED825AD0F81}" xr6:coauthVersionLast="47" xr6:coauthVersionMax="47" xr10:uidLastSave="{00000000-0000-0000-0000-000000000000}"/>
  <bookViews>
    <workbookView xWindow="-120" yWindow="-120" windowWidth="20730" windowHeight="11040" firstSheet="1" activeTab="9" xr2:uid="{AF050283-F879-4177-BD59-1E0ED2828B33}"/>
  </bookViews>
  <sheets>
    <sheet name="Trabajadores" sheetId="3" state="hidden" r:id="rId1"/>
    <sheet name="Resumen HSE" sheetId="2" r:id="rId2"/>
    <sheet name="Frente 1" sheetId="4" r:id="rId3"/>
    <sheet name="Frente 2" sheetId="5" r:id="rId4"/>
    <sheet name="Frente 3" sheetId="6" r:id="rId5"/>
    <sheet name="Frente 4" sheetId="7" r:id="rId6"/>
    <sheet name="Frente 5" sheetId="8" r:id="rId7"/>
    <sheet name="Frente 6" sheetId="9" r:id="rId8"/>
    <sheet name="Frente 7" sheetId="10" r:id="rId9"/>
    <sheet name="Frente 8" sheetId="11" r:id="rId10"/>
  </sheets>
  <externalReferences>
    <externalReference r:id="rId11"/>
  </externalReferences>
  <definedNames>
    <definedName name="_xlnm.Print_Area" localSheetId="2">'Frente 1'!$A$1:$J$79</definedName>
    <definedName name="_xlnm.Print_Area" localSheetId="3">'Frente 2'!$A$1:$J$79</definedName>
    <definedName name="_xlnm.Print_Area" localSheetId="4">'Frente 3'!$A$1:$J$79</definedName>
    <definedName name="_xlnm.Print_Area" localSheetId="5">'Frente 4'!$A$1:$J$79</definedName>
    <definedName name="_xlnm.Print_Area" localSheetId="6">'Frente 5'!$A$1:$J$79</definedName>
    <definedName name="_xlnm.Print_Area" localSheetId="7">'Frente 6'!$A$1:$J$79</definedName>
    <definedName name="_xlnm.Print_Area" localSheetId="8">'Frente 7'!$A$1:$J$79</definedName>
    <definedName name="_xlnm.Print_Area" localSheetId="9">'Frente 8'!$A$1:$J$79</definedName>
    <definedName name="_xlnm.Print_Area" localSheetId="1">'Resumen HSE'!$A$1:$J$67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6" i="11" l="1"/>
  <c r="I74" i="11"/>
  <c r="F65" i="11"/>
  <c r="F60" i="11"/>
  <c r="F37" i="11"/>
  <c r="F22" i="11"/>
  <c r="F21" i="11"/>
  <c r="F20" i="11"/>
  <c r="I76" i="10"/>
  <c r="I74" i="10"/>
  <c r="F60" i="10"/>
  <c r="F65" i="10" s="1"/>
  <c r="F37" i="10"/>
  <c r="F22" i="10"/>
  <c r="F21" i="10"/>
  <c r="F20" i="10"/>
  <c r="I76" i="9"/>
  <c r="I74" i="9"/>
  <c r="F65" i="9"/>
  <c r="F60" i="9"/>
  <c r="F37" i="9"/>
  <c r="F22" i="9"/>
  <c r="F21" i="9"/>
  <c r="F20" i="9"/>
  <c r="I76" i="8"/>
  <c r="I74" i="8"/>
  <c r="F60" i="8"/>
  <c r="F65" i="8" s="1"/>
  <c r="F37" i="8"/>
  <c r="F22" i="8"/>
  <c r="F21" i="8"/>
  <c r="F20" i="8"/>
  <c r="I76" i="7"/>
  <c r="I74" i="7"/>
  <c r="F60" i="7"/>
  <c r="F65" i="7" s="1"/>
  <c r="F37" i="7"/>
  <c r="F22" i="7"/>
  <c r="F21" i="7"/>
  <c r="F20" i="7"/>
  <c r="I76" i="6"/>
  <c r="I74" i="6"/>
  <c r="F60" i="6"/>
  <c r="F65" i="6" s="1"/>
  <c r="F37" i="6"/>
  <c r="F22" i="6"/>
  <c r="F21" i="6"/>
  <c r="F20" i="6"/>
  <c r="I76" i="5"/>
  <c r="I74" i="5"/>
  <c r="F60" i="5"/>
  <c r="F65" i="5" s="1"/>
  <c r="F37" i="5"/>
  <c r="F22" i="5"/>
  <c r="F21" i="5"/>
  <c r="F20" i="5"/>
  <c r="I76" i="4"/>
  <c r="I74" i="4"/>
  <c r="F60" i="4"/>
  <c r="F65" i="4" s="1"/>
  <c r="F37" i="4"/>
  <c r="F22" i="4"/>
  <c r="F21" i="4"/>
  <c r="F20" i="4"/>
  <c r="I64" i="2"/>
  <c r="I62" i="2"/>
  <c r="F53" i="2"/>
  <c r="F48" i="2"/>
  <c r="F25" i="2"/>
  <c r="F10" i="2"/>
  <c r="F9" i="2"/>
  <c r="F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Daisy Jimenez</author>
    <author>Luis Monroy</author>
    <author>Tatiana Paredes</author>
  </authors>
  <commentList>
    <comment ref="A11" authorId="0" shapeId="0" xr:uid="{6DCE43EF-C3D7-4EAD-B3EB-F6714EF637FD}">
      <text>
        <r>
          <rPr>
            <b/>
            <sz val="9"/>
            <color indexed="81"/>
            <rFont val="Tahoma"/>
            <family val="2"/>
          </rPr>
          <t>Daisy Jimenez:</t>
        </r>
        <r>
          <rPr>
            <sz val="9"/>
            <color indexed="81"/>
            <rFont val="Tahoma"/>
            <family val="2"/>
          </rPr>
          <t xml:space="preserve">
Aquí se colocan las que estan consideradas en el Programa SST-MA</t>
        </r>
      </text>
    </comment>
    <comment ref="B26" authorId="1" shapeId="0" xr:uid="{A0C33723-599C-48EE-886F-44E1054053DC}">
      <text>
        <r>
          <rPr>
            <b/>
            <sz val="9"/>
            <color indexed="81"/>
            <rFont val="Tahoma"/>
            <family val="2"/>
          </rPr>
          <t>Aquí se coloca el nombre de la actividad que se va a realizar</t>
        </r>
        <r>
          <rPr>
            <sz val="9"/>
            <color indexed="81"/>
            <rFont val="Tahoma"/>
            <family val="2"/>
          </rPr>
          <t xml:space="preserve">
</t>
        </r>
      </text>
    </comment>
    <comment ref="B27" authorId="1" shapeId="0" xr:uid="{40F19895-2C26-420A-9A42-EF7C6C88A7AB}">
      <text>
        <r>
          <rPr>
            <b/>
            <sz val="9"/>
            <color indexed="81"/>
            <rFont val="Tahoma"/>
            <family val="2"/>
          </rPr>
          <t>Aquí se coloca el nombre de la actividad que se va a realizar</t>
        </r>
        <r>
          <rPr>
            <sz val="9"/>
            <color indexed="81"/>
            <rFont val="Tahoma"/>
            <family val="2"/>
          </rPr>
          <t xml:space="preserve">
</t>
        </r>
      </text>
    </comment>
    <comment ref="B28" authorId="1" shapeId="0" xr:uid="{54D7EE76-CC4F-4DCB-9568-AAFAC1652ADF}">
      <text>
        <r>
          <rPr>
            <b/>
            <sz val="9"/>
            <color indexed="81"/>
            <rFont val="Tahoma"/>
            <family val="2"/>
          </rPr>
          <t>Aquí se coloca el nombre del simulacro: Incendio, derrame, sismo, etc.</t>
        </r>
        <r>
          <rPr>
            <sz val="9"/>
            <color indexed="81"/>
            <rFont val="Tahoma"/>
            <family val="2"/>
          </rPr>
          <t xml:space="preserve">
</t>
        </r>
      </text>
    </comment>
    <comment ref="B30" authorId="1" shapeId="0" xr:uid="{C753483B-F5F4-490A-A612-E5AFEA3B1152}">
      <text>
        <r>
          <rPr>
            <b/>
            <sz val="9"/>
            <color indexed="81"/>
            <rFont val="Tahoma"/>
            <family val="2"/>
          </rPr>
          <t>Aquí se coloca el tipo de incidente y descripción de lo sucedido (Ejemp: Incidente ambiental: Derrame de combustible en xxxx)</t>
        </r>
        <r>
          <rPr>
            <sz val="9"/>
            <color indexed="81"/>
            <rFont val="Tahoma"/>
            <family val="2"/>
          </rPr>
          <t xml:space="preserve">
</t>
        </r>
      </text>
    </comment>
    <comment ref="B31" authorId="1" shapeId="0" xr:uid="{E8402694-661C-4796-9FAE-E40DACCE5599}">
      <text>
        <r>
          <rPr>
            <b/>
            <sz val="9"/>
            <color indexed="81"/>
            <rFont val="Tahoma"/>
            <family val="2"/>
          </rPr>
          <t>Aquí se coloca el tipo de accidente ocurrido y descripción de lo sucedido (Ejemp: Fractura pie derecho por caida en desnivel en xxxx)</t>
        </r>
      </text>
    </comment>
    <comment ref="B33" authorId="1" shapeId="0" xr:uid="{EAEF356E-088A-4840-B490-4BD97AA5AB51}">
      <text>
        <r>
          <rPr>
            <b/>
            <sz val="9"/>
            <color indexed="81"/>
            <rFont val="Tahoma"/>
            <family val="2"/>
          </rPr>
          <t>Aquí se describe el tipo de acto inseguro identificado</t>
        </r>
      </text>
    </comment>
    <comment ref="B34" authorId="1" shapeId="0" xr:uid="{507245DD-EF1D-4B15-9406-B265ADC41E82}">
      <text>
        <r>
          <rPr>
            <b/>
            <sz val="9"/>
            <color indexed="81"/>
            <rFont val="Tahoma"/>
            <family val="2"/>
          </rPr>
          <t>Aquí se describe el tipo de acto inseguro identificado</t>
        </r>
        <r>
          <rPr>
            <sz val="9"/>
            <color indexed="81"/>
            <rFont val="Tahoma"/>
            <family val="2"/>
          </rPr>
          <t xml:space="preserve">
</t>
        </r>
      </text>
    </comment>
    <comment ref="B35" authorId="1" shapeId="0" xr:uid="{2CF4F031-F18F-4B56-9292-CCF41F2B7DA6}">
      <text>
        <r>
          <rPr>
            <b/>
            <sz val="9"/>
            <color indexed="81"/>
            <rFont val="Tahoma"/>
            <family val="2"/>
          </rPr>
          <t>Aquí se describe la causa por la cual se ha detenido la actividad</t>
        </r>
        <r>
          <rPr>
            <sz val="9"/>
            <color indexed="81"/>
            <rFont val="Tahoma"/>
            <family val="2"/>
          </rPr>
          <t xml:space="preserve">
</t>
        </r>
      </text>
    </comment>
    <comment ref="A36" authorId="0" shapeId="0" xr:uid="{233CD815-7698-42B6-A405-13EFE3B9C1C0}">
      <text>
        <r>
          <rPr>
            <b/>
            <sz val="9"/>
            <color indexed="81"/>
            <rFont val="Tahoma"/>
            <family val="2"/>
          </rPr>
          <t>Daisy Jimenez:</t>
        </r>
        <r>
          <rPr>
            <sz val="9"/>
            <color indexed="81"/>
            <rFont val="Tahoma"/>
            <family val="2"/>
          </rPr>
          <t xml:space="preserve">
Sólo se colocan las atenciones médicas que hayan sido atendidas en un Centro de Salud</t>
        </r>
      </text>
    </comment>
    <comment ref="E56" authorId="2" shapeId="0" xr:uid="{949A7118-E0EB-4B13-AABD-7DF7E053A17F}">
      <text>
        <r>
          <rPr>
            <b/>
            <sz val="9"/>
            <color indexed="81"/>
            <rFont val="Tahoma"/>
            <family val="2"/>
          </rPr>
          <t>Tatiana Paredes:
C: correctiva
P: preventiva
M: Mejora</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Daisy Jimenez</author>
    <author>Luis Monroy</author>
    <author>Tatiana Paredes</author>
  </authors>
  <commentList>
    <comment ref="A23" authorId="0" shapeId="0" xr:uid="{D81A89F9-AF74-49F1-B0D1-8CB670CF44B2}">
      <text>
        <r>
          <rPr>
            <b/>
            <sz val="9"/>
            <color indexed="81"/>
            <rFont val="Tahoma"/>
            <family val="2"/>
          </rPr>
          <t>Daisy Jimenez:</t>
        </r>
        <r>
          <rPr>
            <sz val="9"/>
            <color indexed="81"/>
            <rFont val="Tahoma"/>
            <family val="2"/>
          </rPr>
          <t xml:space="preserve">
Aquí se colocan las que estan consideradas en el Programa SST-MA</t>
        </r>
      </text>
    </comment>
    <comment ref="B38" authorId="1" shapeId="0" xr:uid="{7E1831D7-B4BC-4B93-9692-C0FB74EEBF26}">
      <text>
        <r>
          <rPr>
            <b/>
            <sz val="9"/>
            <color indexed="81"/>
            <rFont val="Tahoma"/>
            <family val="2"/>
          </rPr>
          <t>Aquí se coloca el nombre de la actividad que se va a realizar</t>
        </r>
        <r>
          <rPr>
            <sz val="9"/>
            <color indexed="81"/>
            <rFont val="Tahoma"/>
            <family val="2"/>
          </rPr>
          <t xml:space="preserve">
</t>
        </r>
      </text>
    </comment>
    <comment ref="B39" authorId="1" shapeId="0" xr:uid="{F2519716-65DE-4E6A-BB04-A8026FAB0730}">
      <text>
        <r>
          <rPr>
            <b/>
            <sz val="9"/>
            <color indexed="81"/>
            <rFont val="Tahoma"/>
            <family val="2"/>
          </rPr>
          <t>Aquí se coloca el nombre de la actividad que se va a realizar</t>
        </r>
        <r>
          <rPr>
            <sz val="9"/>
            <color indexed="81"/>
            <rFont val="Tahoma"/>
            <family val="2"/>
          </rPr>
          <t xml:space="preserve">
</t>
        </r>
      </text>
    </comment>
    <comment ref="B40" authorId="1" shapeId="0" xr:uid="{DDD885A2-FDB5-487E-8E9D-F8592200DDA7}">
      <text>
        <r>
          <rPr>
            <b/>
            <sz val="9"/>
            <color indexed="81"/>
            <rFont val="Tahoma"/>
            <family val="2"/>
          </rPr>
          <t>Aquí se coloca el nombre del simulacro: Incendio, derrame, sismo, etc.</t>
        </r>
        <r>
          <rPr>
            <sz val="9"/>
            <color indexed="81"/>
            <rFont val="Tahoma"/>
            <family val="2"/>
          </rPr>
          <t xml:space="preserve">
</t>
        </r>
      </text>
    </comment>
    <comment ref="B42" authorId="1" shapeId="0" xr:uid="{FA43B57F-4362-412C-8ACD-B22DDEB8E3D4}">
      <text>
        <r>
          <rPr>
            <b/>
            <sz val="9"/>
            <color indexed="81"/>
            <rFont val="Tahoma"/>
            <family val="2"/>
          </rPr>
          <t>Aquí se coloca el tipo de incidente y descripción de lo sucedido (Ejemp: Incidente ambiental: Derrame de combustible en xxxx)</t>
        </r>
        <r>
          <rPr>
            <sz val="9"/>
            <color indexed="81"/>
            <rFont val="Tahoma"/>
            <family val="2"/>
          </rPr>
          <t xml:space="preserve">
</t>
        </r>
      </text>
    </comment>
    <comment ref="B43" authorId="1" shapeId="0" xr:uid="{EA35E2D4-F471-48D6-883F-86026379A57C}">
      <text>
        <r>
          <rPr>
            <b/>
            <sz val="9"/>
            <color indexed="81"/>
            <rFont val="Tahoma"/>
            <family val="2"/>
          </rPr>
          <t>Aquí se coloca el tipo de accidente ocurrido y descripción de lo sucedido (Ejemp: Fractura pie derecho por caida en desnivel en xxxx)</t>
        </r>
      </text>
    </comment>
    <comment ref="B45" authorId="1" shapeId="0" xr:uid="{10C7ACAC-1833-4E5A-8D01-1C3AE9CC9721}">
      <text>
        <r>
          <rPr>
            <b/>
            <sz val="9"/>
            <color indexed="81"/>
            <rFont val="Tahoma"/>
            <family val="2"/>
          </rPr>
          <t>Aquí se describe el tipo de acto inseguro identificado</t>
        </r>
      </text>
    </comment>
    <comment ref="B46" authorId="1" shapeId="0" xr:uid="{F35E6130-4510-449E-8609-C3DE4291DC65}">
      <text>
        <r>
          <rPr>
            <b/>
            <sz val="9"/>
            <color indexed="81"/>
            <rFont val="Tahoma"/>
            <family val="2"/>
          </rPr>
          <t>Aquí se describe el tipo de acto inseguro identificado</t>
        </r>
        <r>
          <rPr>
            <sz val="9"/>
            <color indexed="81"/>
            <rFont val="Tahoma"/>
            <family val="2"/>
          </rPr>
          <t xml:space="preserve">
</t>
        </r>
      </text>
    </comment>
    <comment ref="B47" authorId="1" shapeId="0" xr:uid="{399FDAE5-F068-4551-A6E4-A7960EDB1DC8}">
      <text>
        <r>
          <rPr>
            <b/>
            <sz val="9"/>
            <color indexed="81"/>
            <rFont val="Tahoma"/>
            <family val="2"/>
          </rPr>
          <t>Aquí se describe la causa por la cual se ha detenido la actividad</t>
        </r>
        <r>
          <rPr>
            <sz val="9"/>
            <color indexed="81"/>
            <rFont val="Tahoma"/>
            <family val="2"/>
          </rPr>
          <t xml:space="preserve">
</t>
        </r>
      </text>
    </comment>
    <comment ref="A48" authorId="0" shapeId="0" xr:uid="{634A7783-93AB-4308-A352-7EEF54863544}">
      <text>
        <r>
          <rPr>
            <b/>
            <sz val="9"/>
            <color indexed="81"/>
            <rFont val="Tahoma"/>
            <family val="2"/>
          </rPr>
          <t>Daisy Jimenez:</t>
        </r>
        <r>
          <rPr>
            <sz val="9"/>
            <color indexed="81"/>
            <rFont val="Tahoma"/>
            <family val="2"/>
          </rPr>
          <t xml:space="preserve">
Sólo se colocan las atenciones médicas que hayan sido atendidas en un Centro de Salud</t>
        </r>
      </text>
    </comment>
    <comment ref="E68" authorId="2" shapeId="0" xr:uid="{A39D0944-090D-4765-A804-38591D2A21E3}">
      <text>
        <r>
          <rPr>
            <b/>
            <sz val="9"/>
            <color indexed="81"/>
            <rFont val="Tahoma"/>
            <family val="2"/>
          </rPr>
          <t>Tatiana Paredes:
C: correctiva
P: preventiva
M: Mejora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Daisy Jimenez</author>
    <author>Luis Monroy</author>
    <author>Tatiana Paredes</author>
  </authors>
  <commentList>
    <comment ref="A23" authorId="0" shapeId="0" xr:uid="{9E8144E0-0671-4BE2-BAE3-D53AA081FADB}">
      <text>
        <r>
          <rPr>
            <b/>
            <sz val="9"/>
            <color indexed="81"/>
            <rFont val="Tahoma"/>
            <family val="2"/>
          </rPr>
          <t>Daisy Jimenez:</t>
        </r>
        <r>
          <rPr>
            <sz val="9"/>
            <color indexed="81"/>
            <rFont val="Tahoma"/>
            <family val="2"/>
          </rPr>
          <t xml:space="preserve">
Aquí se colocan las que estan consideradas en el Programa SST-MA</t>
        </r>
      </text>
    </comment>
    <comment ref="B38" authorId="1" shapeId="0" xr:uid="{9D19C71D-518B-41FE-BDCE-33BEB7DC7BED}">
      <text>
        <r>
          <rPr>
            <b/>
            <sz val="9"/>
            <color indexed="81"/>
            <rFont val="Tahoma"/>
            <family val="2"/>
          </rPr>
          <t>Aquí se coloca el nombre de la actividad que se va a realizar</t>
        </r>
        <r>
          <rPr>
            <sz val="9"/>
            <color indexed="81"/>
            <rFont val="Tahoma"/>
            <family val="2"/>
          </rPr>
          <t xml:space="preserve">
</t>
        </r>
      </text>
    </comment>
    <comment ref="B39" authorId="1" shapeId="0" xr:uid="{542E959D-9CD8-44B2-8D14-E4A71382402E}">
      <text>
        <r>
          <rPr>
            <b/>
            <sz val="9"/>
            <color indexed="81"/>
            <rFont val="Tahoma"/>
            <family val="2"/>
          </rPr>
          <t>Aquí se coloca el nombre de la actividad que se va a realizar</t>
        </r>
        <r>
          <rPr>
            <sz val="9"/>
            <color indexed="81"/>
            <rFont val="Tahoma"/>
            <family val="2"/>
          </rPr>
          <t xml:space="preserve">
</t>
        </r>
      </text>
    </comment>
    <comment ref="B40" authorId="1" shapeId="0" xr:uid="{F9376D84-374C-4E13-98FD-CA4BB55F3CD1}">
      <text>
        <r>
          <rPr>
            <b/>
            <sz val="9"/>
            <color indexed="81"/>
            <rFont val="Tahoma"/>
            <family val="2"/>
          </rPr>
          <t>Aquí se coloca el nombre del simulacro: Incendio, derrame, sismo, etc.</t>
        </r>
        <r>
          <rPr>
            <sz val="9"/>
            <color indexed="81"/>
            <rFont val="Tahoma"/>
            <family val="2"/>
          </rPr>
          <t xml:space="preserve">
</t>
        </r>
      </text>
    </comment>
    <comment ref="B42" authorId="1" shapeId="0" xr:uid="{D1922248-5556-4E47-9FC3-6B5285765E7A}">
      <text>
        <r>
          <rPr>
            <b/>
            <sz val="9"/>
            <color indexed="81"/>
            <rFont val="Tahoma"/>
            <family val="2"/>
          </rPr>
          <t>Aquí se coloca el tipo de incidente y descripción de lo sucedido (Ejemp: Incidente ambiental: Derrame de combustible en xxxx)</t>
        </r>
        <r>
          <rPr>
            <sz val="9"/>
            <color indexed="81"/>
            <rFont val="Tahoma"/>
            <family val="2"/>
          </rPr>
          <t xml:space="preserve">
</t>
        </r>
      </text>
    </comment>
    <comment ref="B43" authorId="1" shapeId="0" xr:uid="{C3474612-0D8A-4210-8DA8-68D832CB8A81}">
      <text>
        <r>
          <rPr>
            <b/>
            <sz val="9"/>
            <color indexed="81"/>
            <rFont val="Tahoma"/>
            <family val="2"/>
          </rPr>
          <t>Aquí se coloca el tipo de accidente ocurrido y descripción de lo sucedido (Ejemp: Fractura pie derecho por caida en desnivel en xxxx)</t>
        </r>
      </text>
    </comment>
    <comment ref="B45" authorId="1" shapeId="0" xr:uid="{0F8EBCB6-750E-480E-8751-62BF8694BCC2}">
      <text>
        <r>
          <rPr>
            <b/>
            <sz val="9"/>
            <color indexed="81"/>
            <rFont val="Tahoma"/>
            <family val="2"/>
          </rPr>
          <t>Aquí se describe el tipo de acto inseguro identificado</t>
        </r>
      </text>
    </comment>
    <comment ref="B46" authorId="1" shapeId="0" xr:uid="{B042E723-D00C-4C81-B031-7AC171F7DF07}">
      <text>
        <r>
          <rPr>
            <b/>
            <sz val="9"/>
            <color indexed="81"/>
            <rFont val="Tahoma"/>
            <family val="2"/>
          </rPr>
          <t>Aquí se describe el tipo de acto inseguro identificado</t>
        </r>
        <r>
          <rPr>
            <sz val="9"/>
            <color indexed="81"/>
            <rFont val="Tahoma"/>
            <family val="2"/>
          </rPr>
          <t xml:space="preserve">
</t>
        </r>
      </text>
    </comment>
    <comment ref="B47" authorId="1" shapeId="0" xr:uid="{BB1A9840-E666-4BEB-86B2-C59AA410C856}">
      <text>
        <r>
          <rPr>
            <b/>
            <sz val="9"/>
            <color indexed="81"/>
            <rFont val="Tahoma"/>
            <family val="2"/>
          </rPr>
          <t>Aquí se describe la causa por la cual se ha detenido la actividad</t>
        </r>
        <r>
          <rPr>
            <sz val="9"/>
            <color indexed="81"/>
            <rFont val="Tahoma"/>
            <family val="2"/>
          </rPr>
          <t xml:space="preserve">
</t>
        </r>
      </text>
    </comment>
    <comment ref="A48" authorId="0" shapeId="0" xr:uid="{BFC5C952-6FB4-4B15-B476-A22069265D2B}">
      <text>
        <r>
          <rPr>
            <b/>
            <sz val="9"/>
            <color indexed="81"/>
            <rFont val="Tahoma"/>
            <family val="2"/>
          </rPr>
          <t>Daisy Jimenez:</t>
        </r>
        <r>
          <rPr>
            <sz val="9"/>
            <color indexed="81"/>
            <rFont val="Tahoma"/>
            <family val="2"/>
          </rPr>
          <t xml:space="preserve">
Sólo se colocan las atenciones médicas que hayan sido atendidas en un Centro de Salud</t>
        </r>
      </text>
    </comment>
    <comment ref="E68" authorId="2" shapeId="0" xr:uid="{2C8F97BE-D505-4398-A54B-D5BF6E3A8245}">
      <text>
        <r>
          <rPr>
            <b/>
            <sz val="9"/>
            <color indexed="81"/>
            <rFont val="Tahoma"/>
            <family val="2"/>
          </rPr>
          <t>Tatiana Paredes:
C: correctiva
P: preventiva
M: Mejora</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Daisy Jimenez</author>
    <author>Luis Monroy</author>
    <author>Tatiana Paredes</author>
  </authors>
  <commentList>
    <comment ref="A23" authorId="0" shapeId="0" xr:uid="{980F0E38-CC91-4E11-A786-A4022B392632}">
      <text>
        <r>
          <rPr>
            <b/>
            <sz val="9"/>
            <color indexed="81"/>
            <rFont val="Tahoma"/>
            <family val="2"/>
          </rPr>
          <t>Daisy Jimenez:</t>
        </r>
        <r>
          <rPr>
            <sz val="9"/>
            <color indexed="81"/>
            <rFont val="Tahoma"/>
            <family val="2"/>
          </rPr>
          <t xml:space="preserve">
Aquí se colocan las que estan consideradas en el Programa SST-MA</t>
        </r>
      </text>
    </comment>
    <comment ref="B38" authorId="1" shapeId="0" xr:uid="{59D01CA7-01D4-4679-BC26-87F17D372C37}">
      <text>
        <r>
          <rPr>
            <b/>
            <sz val="9"/>
            <color indexed="81"/>
            <rFont val="Tahoma"/>
            <family val="2"/>
          </rPr>
          <t>Aquí se coloca el nombre de la actividad que se va a realizar</t>
        </r>
        <r>
          <rPr>
            <sz val="9"/>
            <color indexed="81"/>
            <rFont val="Tahoma"/>
            <family val="2"/>
          </rPr>
          <t xml:space="preserve">
</t>
        </r>
      </text>
    </comment>
    <comment ref="B39" authorId="1" shapeId="0" xr:uid="{A92E045F-EB93-41EA-81DA-FFE97B281144}">
      <text>
        <r>
          <rPr>
            <b/>
            <sz val="9"/>
            <color indexed="81"/>
            <rFont val="Tahoma"/>
            <family val="2"/>
          </rPr>
          <t>Aquí se coloca el nombre de la actividad que se va a realizar</t>
        </r>
        <r>
          <rPr>
            <sz val="9"/>
            <color indexed="81"/>
            <rFont val="Tahoma"/>
            <family val="2"/>
          </rPr>
          <t xml:space="preserve">
</t>
        </r>
      </text>
    </comment>
    <comment ref="B40" authorId="1" shapeId="0" xr:uid="{6F8178D2-9409-4722-A62C-346CC9583E07}">
      <text>
        <r>
          <rPr>
            <b/>
            <sz val="9"/>
            <color indexed="81"/>
            <rFont val="Tahoma"/>
            <family val="2"/>
          </rPr>
          <t>Aquí se coloca el nombre del simulacro: Incendio, derrame, sismo, etc.</t>
        </r>
        <r>
          <rPr>
            <sz val="9"/>
            <color indexed="81"/>
            <rFont val="Tahoma"/>
            <family val="2"/>
          </rPr>
          <t xml:space="preserve">
</t>
        </r>
      </text>
    </comment>
    <comment ref="B42" authorId="1" shapeId="0" xr:uid="{AAD39C14-1204-4C2F-9F31-F721B992C935}">
      <text>
        <r>
          <rPr>
            <b/>
            <sz val="9"/>
            <color indexed="81"/>
            <rFont val="Tahoma"/>
            <family val="2"/>
          </rPr>
          <t>Aquí se coloca el tipo de incidente y descripción de lo sucedido (Ejemp: Incidente ambiental: Derrame de combustible en xxxx)</t>
        </r>
        <r>
          <rPr>
            <sz val="9"/>
            <color indexed="81"/>
            <rFont val="Tahoma"/>
            <family val="2"/>
          </rPr>
          <t xml:space="preserve">
</t>
        </r>
      </text>
    </comment>
    <comment ref="B43" authorId="1" shapeId="0" xr:uid="{90B6A51D-8DF7-4E0B-AD98-7D9A0D7C6928}">
      <text>
        <r>
          <rPr>
            <b/>
            <sz val="9"/>
            <color indexed="81"/>
            <rFont val="Tahoma"/>
            <family val="2"/>
          </rPr>
          <t>Aquí se coloca el tipo de accidente ocurrido y descripción de lo sucedido (Ejemp: Fractura pie derecho por caida en desnivel en xxxx)</t>
        </r>
      </text>
    </comment>
    <comment ref="B45" authorId="1" shapeId="0" xr:uid="{0814C1A8-7839-4937-882D-4B38FC9B3264}">
      <text>
        <r>
          <rPr>
            <b/>
            <sz val="9"/>
            <color indexed="81"/>
            <rFont val="Tahoma"/>
            <family val="2"/>
          </rPr>
          <t>Aquí se describe el tipo de acto inseguro identificado</t>
        </r>
      </text>
    </comment>
    <comment ref="B46" authorId="1" shapeId="0" xr:uid="{2485BF0A-A46C-4BA3-8395-A7E592D14A04}">
      <text>
        <r>
          <rPr>
            <b/>
            <sz val="9"/>
            <color indexed="81"/>
            <rFont val="Tahoma"/>
            <family val="2"/>
          </rPr>
          <t>Aquí se describe el tipo de acto inseguro identificado</t>
        </r>
        <r>
          <rPr>
            <sz val="9"/>
            <color indexed="81"/>
            <rFont val="Tahoma"/>
            <family val="2"/>
          </rPr>
          <t xml:space="preserve">
</t>
        </r>
      </text>
    </comment>
    <comment ref="B47" authorId="1" shapeId="0" xr:uid="{C85FAF6E-E515-4297-8CCE-F2455FBA0157}">
      <text>
        <r>
          <rPr>
            <b/>
            <sz val="9"/>
            <color indexed="81"/>
            <rFont val="Tahoma"/>
            <family val="2"/>
          </rPr>
          <t>Aquí se describe la causa por la cual se ha detenido la actividad</t>
        </r>
        <r>
          <rPr>
            <sz val="9"/>
            <color indexed="81"/>
            <rFont val="Tahoma"/>
            <family val="2"/>
          </rPr>
          <t xml:space="preserve">
</t>
        </r>
      </text>
    </comment>
    <comment ref="A48" authorId="0" shapeId="0" xr:uid="{CF3C2357-65DF-4834-9507-5DA472C3669A}">
      <text>
        <r>
          <rPr>
            <b/>
            <sz val="9"/>
            <color indexed="81"/>
            <rFont val="Tahoma"/>
            <family val="2"/>
          </rPr>
          <t>Daisy Jimenez:</t>
        </r>
        <r>
          <rPr>
            <sz val="9"/>
            <color indexed="81"/>
            <rFont val="Tahoma"/>
            <family val="2"/>
          </rPr>
          <t xml:space="preserve">
Sólo se colocan las atenciones médicas que hayan sido atendidas en un Centro de Salud</t>
        </r>
      </text>
    </comment>
    <comment ref="E68" authorId="2" shapeId="0" xr:uid="{1830A259-9B03-4356-951F-C964E472426A}">
      <text>
        <r>
          <rPr>
            <b/>
            <sz val="9"/>
            <color indexed="81"/>
            <rFont val="Tahoma"/>
            <family val="2"/>
          </rPr>
          <t>Tatiana Paredes:
C: correctiva
P: preventiva
M: Mejora</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Daisy Jimenez</author>
    <author>Luis Monroy</author>
    <author>Tatiana Paredes</author>
  </authors>
  <commentList>
    <comment ref="A23" authorId="0" shapeId="0" xr:uid="{4BDC82E4-A239-4096-947A-B96F0092A14D}">
      <text>
        <r>
          <rPr>
            <b/>
            <sz val="9"/>
            <color indexed="81"/>
            <rFont val="Tahoma"/>
            <family val="2"/>
          </rPr>
          <t>Daisy Jimenez:</t>
        </r>
        <r>
          <rPr>
            <sz val="9"/>
            <color indexed="81"/>
            <rFont val="Tahoma"/>
            <family val="2"/>
          </rPr>
          <t xml:space="preserve">
Aquí se colocan las que estan consideradas en el Programa SST-MA</t>
        </r>
      </text>
    </comment>
    <comment ref="B38" authorId="1" shapeId="0" xr:uid="{E607779B-502C-4E0B-AA15-44E7DC19019C}">
      <text>
        <r>
          <rPr>
            <b/>
            <sz val="9"/>
            <color indexed="81"/>
            <rFont val="Tahoma"/>
            <family val="2"/>
          </rPr>
          <t>Aquí se coloca el nombre de la actividad que se va a realizar</t>
        </r>
        <r>
          <rPr>
            <sz val="9"/>
            <color indexed="81"/>
            <rFont val="Tahoma"/>
            <family val="2"/>
          </rPr>
          <t xml:space="preserve">
</t>
        </r>
      </text>
    </comment>
    <comment ref="B39" authorId="1" shapeId="0" xr:uid="{D5BF589B-A7F5-4A85-A1EA-EA25B4031B1B}">
      <text>
        <r>
          <rPr>
            <b/>
            <sz val="9"/>
            <color indexed="81"/>
            <rFont val="Tahoma"/>
            <family val="2"/>
          </rPr>
          <t>Aquí se coloca el nombre de la actividad que se va a realizar</t>
        </r>
        <r>
          <rPr>
            <sz val="9"/>
            <color indexed="81"/>
            <rFont val="Tahoma"/>
            <family val="2"/>
          </rPr>
          <t xml:space="preserve">
</t>
        </r>
      </text>
    </comment>
    <comment ref="B40" authorId="1" shapeId="0" xr:uid="{F2B23EEA-0FFF-44CC-8097-EB4702491C87}">
      <text>
        <r>
          <rPr>
            <b/>
            <sz val="9"/>
            <color indexed="81"/>
            <rFont val="Tahoma"/>
            <family val="2"/>
          </rPr>
          <t>Aquí se coloca el nombre del simulacro: Incendio, derrame, sismo, etc.</t>
        </r>
        <r>
          <rPr>
            <sz val="9"/>
            <color indexed="81"/>
            <rFont val="Tahoma"/>
            <family val="2"/>
          </rPr>
          <t xml:space="preserve">
</t>
        </r>
      </text>
    </comment>
    <comment ref="B42" authorId="1" shapeId="0" xr:uid="{98069AF1-033D-4327-B9D3-D905BB977F7B}">
      <text>
        <r>
          <rPr>
            <b/>
            <sz val="9"/>
            <color indexed="81"/>
            <rFont val="Tahoma"/>
            <family val="2"/>
          </rPr>
          <t>Aquí se coloca el tipo de incidente y descripción de lo sucedido (Ejemp: Incidente ambiental: Derrame de combustible en xxxx)</t>
        </r>
        <r>
          <rPr>
            <sz val="9"/>
            <color indexed="81"/>
            <rFont val="Tahoma"/>
            <family val="2"/>
          </rPr>
          <t xml:space="preserve">
</t>
        </r>
      </text>
    </comment>
    <comment ref="B43" authorId="1" shapeId="0" xr:uid="{9CCFF6A7-1F44-4115-80A6-501F21B092AF}">
      <text>
        <r>
          <rPr>
            <b/>
            <sz val="9"/>
            <color indexed="81"/>
            <rFont val="Tahoma"/>
            <family val="2"/>
          </rPr>
          <t>Aquí se coloca el tipo de accidente ocurrido y descripción de lo sucedido (Ejemp: Fractura pie derecho por caida en desnivel en xxxx)</t>
        </r>
      </text>
    </comment>
    <comment ref="B45" authorId="1" shapeId="0" xr:uid="{3A83AAB7-3DEF-4173-97A6-185AF345C6D5}">
      <text>
        <r>
          <rPr>
            <b/>
            <sz val="9"/>
            <color indexed="81"/>
            <rFont val="Tahoma"/>
            <family val="2"/>
          </rPr>
          <t>Aquí se describe el tipo de acto inseguro identificado</t>
        </r>
      </text>
    </comment>
    <comment ref="B46" authorId="1" shapeId="0" xr:uid="{738A8E16-24BB-4E20-9320-3143F6D71B2B}">
      <text>
        <r>
          <rPr>
            <b/>
            <sz val="9"/>
            <color indexed="81"/>
            <rFont val="Tahoma"/>
            <family val="2"/>
          </rPr>
          <t>Aquí se describe el tipo de acto inseguro identificado</t>
        </r>
        <r>
          <rPr>
            <sz val="9"/>
            <color indexed="81"/>
            <rFont val="Tahoma"/>
            <family val="2"/>
          </rPr>
          <t xml:space="preserve">
</t>
        </r>
      </text>
    </comment>
    <comment ref="B47" authorId="1" shapeId="0" xr:uid="{D60B7D0E-0980-417B-89E3-D5406A67E7B4}">
      <text>
        <r>
          <rPr>
            <b/>
            <sz val="9"/>
            <color indexed="81"/>
            <rFont val="Tahoma"/>
            <family val="2"/>
          </rPr>
          <t>Aquí se describe la causa por la cual se ha detenido la actividad</t>
        </r>
        <r>
          <rPr>
            <sz val="9"/>
            <color indexed="81"/>
            <rFont val="Tahoma"/>
            <family val="2"/>
          </rPr>
          <t xml:space="preserve">
</t>
        </r>
      </text>
    </comment>
    <comment ref="A48" authorId="0" shapeId="0" xr:uid="{00C0FC4E-DE9E-41D6-8224-1E5153FE7E73}">
      <text>
        <r>
          <rPr>
            <b/>
            <sz val="9"/>
            <color indexed="81"/>
            <rFont val="Tahoma"/>
            <family val="2"/>
          </rPr>
          <t>Daisy Jimenez:</t>
        </r>
        <r>
          <rPr>
            <sz val="9"/>
            <color indexed="81"/>
            <rFont val="Tahoma"/>
            <family val="2"/>
          </rPr>
          <t xml:space="preserve">
Sólo se colocan las atenciones médicas que hayan sido atendidas en un Centro de Salud</t>
        </r>
      </text>
    </comment>
    <comment ref="E68" authorId="2" shapeId="0" xr:uid="{19A2D217-1FA6-419D-8685-59791E23FAA4}">
      <text>
        <r>
          <rPr>
            <b/>
            <sz val="9"/>
            <color indexed="81"/>
            <rFont val="Tahoma"/>
            <family val="2"/>
          </rPr>
          <t>Tatiana Paredes:
C: correctiva
P: preventiva
M: Mejora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Daisy Jimenez</author>
    <author>Luis Monroy</author>
    <author>Tatiana Paredes</author>
  </authors>
  <commentList>
    <comment ref="A23" authorId="0" shapeId="0" xr:uid="{9602EFF4-C785-404A-B76B-354E0687E5C1}">
      <text>
        <r>
          <rPr>
            <b/>
            <sz val="9"/>
            <color indexed="81"/>
            <rFont val="Tahoma"/>
            <family val="2"/>
          </rPr>
          <t>Daisy Jimenez:</t>
        </r>
        <r>
          <rPr>
            <sz val="9"/>
            <color indexed="81"/>
            <rFont val="Tahoma"/>
            <family val="2"/>
          </rPr>
          <t xml:space="preserve">
Aquí se colocan las que estan consideradas en el Programa SST-MA</t>
        </r>
      </text>
    </comment>
    <comment ref="B38" authorId="1" shapeId="0" xr:uid="{17F95B70-0180-46CE-AC77-64083EF42BE9}">
      <text>
        <r>
          <rPr>
            <b/>
            <sz val="9"/>
            <color indexed="81"/>
            <rFont val="Tahoma"/>
            <family val="2"/>
          </rPr>
          <t>Aquí se coloca el nombre de la actividad que se va a realizar</t>
        </r>
        <r>
          <rPr>
            <sz val="9"/>
            <color indexed="81"/>
            <rFont val="Tahoma"/>
            <family val="2"/>
          </rPr>
          <t xml:space="preserve">
</t>
        </r>
      </text>
    </comment>
    <comment ref="B39" authorId="1" shapeId="0" xr:uid="{E3F5FA5F-BC91-44FA-A65D-4E7A0415E5C5}">
      <text>
        <r>
          <rPr>
            <b/>
            <sz val="9"/>
            <color indexed="81"/>
            <rFont val="Tahoma"/>
            <family val="2"/>
          </rPr>
          <t>Aquí se coloca el nombre de la actividad que se va a realizar</t>
        </r>
        <r>
          <rPr>
            <sz val="9"/>
            <color indexed="81"/>
            <rFont val="Tahoma"/>
            <family val="2"/>
          </rPr>
          <t xml:space="preserve">
</t>
        </r>
      </text>
    </comment>
    <comment ref="B40" authorId="1" shapeId="0" xr:uid="{F68297A7-2E32-4EDF-B8F1-E53FA3577162}">
      <text>
        <r>
          <rPr>
            <b/>
            <sz val="9"/>
            <color indexed="81"/>
            <rFont val="Tahoma"/>
            <family val="2"/>
          </rPr>
          <t>Aquí se coloca el nombre del simulacro: Incendio, derrame, sismo, etc.</t>
        </r>
        <r>
          <rPr>
            <sz val="9"/>
            <color indexed="81"/>
            <rFont val="Tahoma"/>
            <family val="2"/>
          </rPr>
          <t xml:space="preserve">
</t>
        </r>
      </text>
    </comment>
    <comment ref="B42" authorId="1" shapeId="0" xr:uid="{DF5EBDF6-76C9-4C17-B5B7-4153C9186584}">
      <text>
        <r>
          <rPr>
            <b/>
            <sz val="9"/>
            <color indexed="81"/>
            <rFont val="Tahoma"/>
            <family val="2"/>
          </rPr>
          <t>Aquí se coloca el tipo de incidente y descripción de lo sucedido (Ejemp: Incidente ambiental: Derrame de combustible en xxxx)</t>
        </r>
        <r>
          <rPr>
            <sz val="9"/>
            <color indexed="81"/>
            <rFont val="Tahoma"/>
            <family val="2"/>
          </rPr>
          <t xml:space="preserve">
</t>
        </r>
      </text>
    </comment>
    <comment ref="B43" authorId="1" shapeId="0" xr:uid="{9DBB7998-EA5A-4F7C-8A7A-69282B8EE562}">
      <text>
        <r>
          <rPr>
            <b/>
            <sz val="9"/>
            <color indexed="81"/>
            <rFont val="Tahoma"/>
            <family val="2"/>
          </rPr>
          <t>Aquí se coloca el tipo de accidente ocurrido y descripción de lo sucedido (Ejemp: Fractura pie derecho por caida en desnivel en xxxx)</t>
        </r>
      </text>
    </comment>
    <comment ref="B45" authorId="1" shapeId="0" xr:uid="{0A30CAD9-8A01-42C6-8B13-902426E6B712}">
      <text>
        <r>
          <rPr>
            <b/>
            <sz val="9"/>
            <color indexed="81"/>
            <rFont val="Tahoma"/>
            <family val="2"/>
          </rPr>
          <t>Aquí se describe el tipo de acto inseguro identificado</t>
        </r>
      </text>
    </comment>
    <comment ref="B46" authorId="1" shapeId="0" xr:uid="{3AF36D2C-0834-40FF-BB70-983C304180F4}">
      <text>
        <r>
          <rPr>
            <b/>
            <sz val="9"/>
            <color indexed="81"/>
            <rFont val="Tahoma"/>
            <family val="2"/>
          </rPr>
          <t>Aquí se describe el tipo de acto inseguro identificado</t>
        </r>
        <r>
          <rPr>
            <sz val="9"/>
            <color indexed="81"/>
            <rFont val="Tahoma"/>
            <family val="2"/>
          </rPr>
          <t xml:space="preserve">
</t>
        </r>
      </text>
    </comment>
    <comment ref="B47" authorId="1" shapeId="0" xr:uid="{EE64FF12-D4BE-4093-AE22-B739490C39D6}">
      <text>
        <r>
          <rPr>
            <b/>
            <sz val="9"/>
            <color indexed="81"/>
            <rFont val="Tahoma"/>
            <family val="2"/>
          </rPr>
          <t>Aquí se describe la causa por la cual se ha detenido la actividad</t>
        </r>
        <r>
          <rPr>
            <sz val="9"/>
            <color indexed="81"/>
            <rFont val="Tahoma"/>
            <family val="2"/>
          </rPr>
          <t xml:space="preserve">
</t>
        </r>
      </text>
    </comment>
    <comment ref="A48" authorId="0" shapeId="0" xr:uid="{3CB4DF71-66A5-46CF-8D28-38A577181E9B}">
      <text>
        <r>
          <rPr>
            <b/>
            <sz val="9"/>
            <color indexed="81"/>
            <rFont val="Tahoma"/>
            <family val="2"/>
          </rPr>
          <t>Daisy Jimenez:</t>
        </r>
        <r>
          <rPr>
            <sz val="9"/>
            <color indexed="81"/>
            <rFont val="Tahoma"/>
            <family val="2"/>
          </rPr>
          <t xml:space="preserve">
Sólo se colocan las atenciones médicas que hayan sido atendidas en un Centro de Salud</t>
        </r>
      </text>
    </comment>
    <comment ref="E68" authorId="2" shapeId="0" xr:uid="{121FB706-C25C-4629-B2D9-C32E240FEA8A}">
      <text>
        <r>
          <rPr>
            <b/>
            <sz val="9"/>
            <color indexed="81"/>
            <rFont val="Tahoma"/>
            <family val="2"/>
          </rPr>
          <t>Tatiana Paredes:
C: correctiva
P: preventiva
M: Mejora</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Daisy Jimenez</author>
    <author>Luis Monroy</author>
    <author>Tatiana Paredes</author>
  </authors>
  <commentList>
    <comment ref="A23" authorId="0" shapeId="0" xr:uid="{042BF565-5125-46B0-978D-0BE6F9F7D2F8}">
      <text>
        <r>
          <rPr>
            <b/>
            <sz val="9"/>
            <color indexed="81"/>
            <rFont val="Tahoma"/>
            <family val="2"/>
          </rPr>
          <t>Daisy Jimenez:</t>
        </r>
        <r>
          <rPr>
            <sz val="9"/>
            <color indexed="81"/>
            <rFont val="Tahoma"/>
            <family val="2"/>
          </rPr>
          <t xml:space="preserve">
Aquí se colocan las que estan consideradas en el Programa SST-MA</t>
        </r>
      </text>
    </comment>
    <comment ref="B38" authorId="1" shapeId="0" xr:uid="{81619A6C-43E3-4D04-B1C7-6EF9C0F0521A}">
      <text>
        <r>
          <rPr>
            <b/>
            <sz val="9"/>
            <color indexed="81"/>
            <rFont val="Tahoma"/>
            <family val="2"/>
          </rPr>
          <t>Aquí se coloca el nombre de la actividad que se va a realizar</t>
        </r>
        <r>
          <rPr>
            <sz val="9"/>
            <color indexed="81"/>
            <rFont val="Tahoma"/>
            <family val="2"/>
          </rPr>
          <t xml:space="preserve">
</t>
        </r>
      </text>
    </comment>
    <comment ref="B39" authorId="1" shapeId="0" xr:uid="{EEABB087-A3AB-4063-920D-E1E1A75D5C74}">
      <text>
        <r>
          <rPr>
            <b/>
            <sz val="9"/>
            <color indexed="81"/>
            <rFont val="Tahoma"/>
            <family val="2"/>
          </rPr>
          <t>Aquí se coloca el nombre de la actividad que se va a realizar</t>
        </r>
        <r>
          <rPr>
            <sz val="9"/>
            <color indexed="81"/>
            <rFont val="Tahoma"/>
            <family val="2"/>
          </rPr>
          <t xml:space="preserve">
</t>
        </r>
      </text>
    </comment>
    <comment ref="B40" authorId="1" shapeId="0" xr:uid="{2D6C6EC7-6B36-4B47-B627-1F07F0D02D73}">
      <text>
        <r>
          <rPr>
            <b/>
            <sz val="9"/>
            <color indexed="81"/>
            <rFont val="Tahoma"/>
            <family val="2"/>
          </rPr>
          <t>Aquí se coloca el nombre del simulacro: Incendio, derrame, sismo, etc.</t>
        </r>
        <r>
          <rPr>
            <sz val="9"/>
            <color indexed="81"/>
            <rFont val="Tahoma"/>
            <family val="2"/>
          </rPr>
          <t xml:space="preserve">
</t>
        </r>
      </text>
    </comment>
    <comment ref="B42" authorId="1" shapeId="0" xr:uid="{B2691E8C-C735-49F4-8210-CE5DC3E832E3}">
      <text>
        <r>
          <rPr>
            <b/>
            <sz val="9"/>
            <color indexed="81"/>
            <rFont val="Tahoma"/>
            <family val="2"/>
          </rPr>
          <t>Aquí se coloca el tipo de incidente y descripción de lo sucedido (Ejemp: Incidente ambiental: Derrame de combustible en xxxx)</t>
        </r>
        <r>
          <rPr>
            <sz val="9"/>
            <color indexed="81"/>
            <rFont val="Tahoma"/>
            <family val="2"/>
          </rPr>
          <t xml:space="preserve">
</t>
        </r>
      </text>
    </comment>
    <comment ref="B43" authorId="1" shapeId="0" xr:uid="{15F423E1-CFE6-4E9F-B482-001D153AC5CE}">
      <text>
        <r>
          <rPr>
            <b/>
            <sz val="9"/>
            <color indexed="81"/>
            <rFont val="Tahoma"/>
            <family val="2"/>
          </rPr>
          <t>Aquí se coloca el tipo de accidente ocurrido y descripción de lo sucedido (Ejemp: Fractura pie derecho por caida en desnivel en xxxx)</t>
        </r>
      </text>
    </comment>
    <comment ref="B45" authorId="1" shapeId="0" xr:uid="{39495A9F-7EA9-4E88-9F3F-FD69C28D0796}">
      <text>
        <r>
          <rPr>
            <b/>
            <sz val="9"/>
            <color indexed="81"/>
            <rFont val="Tahoma"/>
            <family val="2"/>
          </rPr>
          <t>Aquí se describe el tipo de acto inseguro identificado</t>
        </r>
      </text>
    </comment>
    <comment ref="B46" authorId="1" shapeId="0" xr:uid="{D2891E37-CF8A-4F7B-9EBF-F6782850F62B}">
      <text>
        <r>
          <rPr>
            <b/>
            <sz val="9"/>
            <color indexed="81"/>
            <rFont val="Tahoma"/>
            <family val="2"/>
          </rPr>
          <t>Aquí se describe el tipo de acto inseguro identificado</t>
        </r>
        <r>
          <rPr>
            <sz val="9"/>
            <color indexed="81"/>
            <rFont val="Tahoma"/>
            <family val="2"/>
          </rPr>
          <t xml:space="preserve">
</t>
        </r>
      </text>
    </comment>
    <comment ref="B47" authorId="1" shapeId="0" xr:uid="{B3639E3C-DFCB-4F46-A91D-D3FE06F6B4EC}">
      <text>
        <r>
          <rPr>
            <b/>
            <sz val="9"/>
            <color indexed="81"/>
            <rFont val="Tahoma"/>
            <family val="2"/>
          </rPr>
          <t>Aquí se describe la causa por la cual se ha detenido la actividad</t>
        </r>
        <r>
          <rPr>
            <sz val="9"/>
            <color indexed="81"/>
            <rFont val="Tahoma"/>
            <family val="2"/>
          </rPr>
          <t xml:space="preserve">
</t>
        </r>
      </text>
    </comment>
    <comment ref="A48" authorId="0" shapeId="0" xr:uid="{CD2901E0-A5FF-4B7B-A6B1-2D5FEB6C4C6C}">
      <text>
        <r>
          <rPr>
            <b/>
            <sz val="9"/>
            <color indexed="81"/>
            <rFont val="Tahoma"/>
            <family val="2"/>
          </rPr>
          <t>Daisy Jimenez:</t>
        </r>
        <r>
          <rPr>
            <sz val="9"/>
            <color indexed="81"/>
            <rFont val="Tahoma"/>
            <family val="2"/>
          </rPr>
          <t xml:space="preserve">
Sólo se colocan las atenciones médicas que hayan sido atendidas en un Centro de Salud</t>
        </r>
      </text>
    </comment>
    <comment ref="E68" authorId="2" shapeId="0" xr:uid="{EA06815A-3A57-48D1-8189-B5BA4D021D89}">
      <text>
        <r>
          <rPr>
            <b/>
            <sz val="9"/>
            <color indexed="81"/>
            <rFont val="Tahoma"/>
            <family val="2"/>
          </rPr>
          <t>Tatiana Paredes:
C: correctiva
P: preventiva
M: Mejora</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Daisy Jimenez</author>
    <author>Luis Monroy</author>
    <author>Tatiana Paredes</author>
  </authors>
  <commentList>
    <comment ref="A23" authorId="0" shapeId="0" xr:uid="{385F288D-3885-4032-B7FD-805A67339418}">
      <text>
        <r>
          <rPr>
            <b/>
            <sz val="9"/>
            <color indexed="81"/>
            <rFont val="Tahoma"/>
            <family val="2"/>
          </rPr>
          <t>Daisy Jimenez:</t>
        </r>
        <r>
          <rPr>
            <sz val="9"/>
            <color indexed="81"/>
            <rFont val="Tahoma"/>
            <family val="2"/>
          </rPr>
          <t xml:space="preserve">
Aquí se colocan las que estan consideradas en el Programa SST-MA</t>
        </r>
      </text>
    </comment>
    <comment ref="B38" authorId="1" shapeId="0" xr:uid="{05763FD8-2CB3-47AE-A2ED-54D0A28EBD9A}">
      <text>
        <r>
          <rPr>
            <b/>
            <sz val="9"/>
            <color indexed="81"/>
            <rFont val="Tahoma"/>
            <family val="2"/>
          </rPr>
          <t>Aquí se coloca el nombre de la actividad que se va a realizar</t>
        </r>
        <r>
          <rPr>
            <sz val="9"/>
            <color indexed="81"/>
            <rFont val="Tahoma"/>
            <family val="2"/>
          </rPr>
          <t xml:space="preserve">
</t>
        </r>
      </text>
    </comment>
    <comment ref="B39" authorId="1" shapeId="0" xr:uid="{4C6CAA7A-208F-4714-BF6D-51A39C612118}">
      <text>
        <r>
          <rPr>
            <b/>
            <sz val="9"/>
            <color indexed="81"/>
            <rFont val="Tahoma"/>
            <family val="2"/>
          </rPr>
          <t>Aquí se coloca el nombre de la actividad que se va a realizar</t>
        </r>
        <r>
          <rPr>
            <sz val="9"/>
            <color indexed="81"/>
            <rFont val="Tahoma"/>
            <family val="2"/>
          </rPr>
          <t xml:space="preserve">
</t>
        </r>
      </text>
    </comment>
    <comment ref="B40" authorId="1" shapeId="0" xr:uid="{8B86BA87-C8B1-4368-9052-AA3F863FF457}">
      <text>
        <r>
          <rPr>
            <b/>
            <sz val="9"/>
            <color indexed="81"/>
            <rFont val="Tahoma"/>
            <family val="2"/>
          </rPr>
          <t>Aquí se coloca el nombre del simulacro: Incendio, derrame, sismo, etc.</t>
        </r>
        <r>
          <rPr>
            <sz val="9"/>
            <color indexed="81"/>
            <rFont val="Tahoma"/>
            <family val="2"/>
          </rPr>
          <t xml:space="preserve">
</t>
        </r>
      </text>
    </comment>
    <comment ref="B42" authorId="1" shapeId="0" xr:uid="{7070C569-344D-4E1A-B650-1142EA3FE8B0}">
      <text>
        <r>
          <rPr>
            <b/>
            <sz val="9"/>
            <color indexed="81"/>
            <rFont val="Tahoma"/>
            <family val="2"/>
          </rPr>
          <t>Aquí se coloca el tipo de incidente y descripción de lo sucedido (Ejemp: Incidente ambiental: Derrame de combustible en xxxx)</t>
        </r>
        <r>
          <rPr>
            <sz val="9"/>
            <color indexed="81"/>
            <rFont val="Tahoma"/>
            <family val="2"/>
          </rPr>
          <t xml:space="preserve">
</t>
        </r>
      </text>
    </comment>
    <comment ref="B43" authorId="1" shapeId="0" xr:uid="{D9CDF8AF-3E0D-4274-BA8D-8DAD68D73043}">
      <text>
        <r>
          <rPr>
            <b/>
            <sz val="9"/>
            <color indexed="81"/>
            <rFont val="Tahoma"/>
            <family val="2"/>
          </rPr>
          <t>Aquí se coloca el tipo de accidente ocurrido y descripción de lo sucedido (Ejemp: Fractura pie derecho por caida en desnivel en xxxx)</t>
        </r>
      </text>
    </comment>
    <comment ref="B45" authorId="1" shapeId="0" xr:uid="{837E2802-9E5B-4CE3-9656-C2B27A0849CA}">
      <text>
        <r>
          <rPr>
            <b/>
            <sz val="9"/>
            <color indexed="81"/>
            <rFont val="Tahoma"/>
            <family val="2"/>
          </rPr>
          <t>Aquí se describe el tipo de acto inseguro identificado</t>
        </r>
      </text>
    </comment>
    <comment ref="B46" authorId="1" shapeId="0" xr:uid="{42DFD71C-DC07-40E8-983F-82300E6957F7}">
      <text>
        <r>
          <rPr>
            <b/>
            <sz val="9"/>
            <color indexed="81"/>
            <rFont val="Tahoma"/>
            <family val="2"/>
          </rPr>
          <t>Aquí se describe el tipo de acto inseguro identificado</t>
        </r>
        <r>
          <rPr>
            <sz val="9"/>
            <color indexed="81"/>
            <rFont val="Tahoma"/>
            <family val="2"/>
          </rPr>
          <t xml:space="preserve">
</t>
        </r>
      </text>
    </comment>
    <comment ref="B47" authorId="1" shapeId="0" xr:uid="{17B32E2A-F02E-42D5-BF02-BB3D72C0ED6B}">
      <text>
        <r>
          <rPr>
            <b/>
            <sz val="9"/>
            <color indexed="81"/>
            <rFont val="Tahoma"/>
            <family val="2"/>
          </rPr>
          <t>Aquí se describe la causa por la cual se ha detenido la actividad</t>
        </r>
        <r>
          <rPr>
            <sz val="9"/>
            <color indexed="81"/>
            <rFont val="Tahoma"/>
            <family val="2"/>
          </rPr>
          <t xml:space="preserve">
</t>
        </r>
      </text>
    </comment>
    <comment ref="A48" authorId="0" shapeId="0" xr:uid="{AC52FDE7-17F5-4AC1-AFB4-7A65252210F8}">
      <text>
        <r>
          <rPr>
            <b/>
            <sz val="9"/>
            <color indexed="81"/>
            <rFont val="Tahoma"/>
            <family val="2"/>
          </rPr>
          <t>Daisy Jimenez:</t>
        </r>
        <r>
          <rPr>
            <sz val="9"/>
            <color indexed="81"/>
            <rFont val="Tahoma"/>
            <family val="2"/>
          </rPr>
          <t xml:space="preserve">
Sólo se colocan las atenciones médicas que hayan sido atendidas en un Centro de Salud</t>
        </r>
      </text>
    </comment>
    <comment ref="E68" authorId="2" shapeId="0" xr:uid="{4E68634C-4A75-4364-8509-E75BFA0DD8AF}">
      <text>
        <r>
          <rPr>
            <b/>
            <sz val="9"/>
            <color indexed="81"/>
            <rFont val="Tahoma"/>
            <family val="2"/>
          </rPr>
          <t>Tatiana Paredes:
C: correctiva
P: preventiva
M: Mejora</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Daisy Jimenez</author>
    <author>Luis Monroy</author>
    <author>Tatiana Paredes</author>
  </authors>
  <commentList>
    <comment ref="A23" authorId="0" shapeId="0" xr:uid="{16322C65-A28B-44B0-999F-59DA71A9D6AE}">
      <text>
        <r>
          <rPr>
            <b/>
            <sz val="9"/>
            <color indexed="81"/>
            <rFont val="Tahoma"/>
            <family val="2"/>
          </rPr>
          <t>Daisy Jimenez:</t>
        </r>
        <r>
          <rPr>
            <sz val="9"/>
            <color indexed="81"/>
            <rFont val="Tahoma"/>
            <family val="2"/>
          </rPr>
          <t xml:space="preserve">
Aquí se colocan las que estan consideradas en el Programa SST-MA</t>
        </r>
      </text>
    </comment>
    <comment ref="B38" authorId="1" shapeId="0" xr:uid="{0DAA3EBF-F6DE-41E1-8525-C4914A166C24}">
      <text>
        <r>
          <rPr>
            <b/>
            <sz val="9"/>
            <color indexed="81"/>
            <rFont val="Tahoma"/>
            <family val="2"/>
          </rPr>
          <t>Aquí se coloca el nombre de la actividad que se va a realizar</t>
        </r>
        <r>
          <rPr>
            <sz val="9"/>
            <color indexed="81"/>
            <rFont val="Tahoma"/>
            <family val="2"/>
          </rPr>
          <t xml:space="preserve">
</t>
        </r>
      </text>
    </comment>
    <comment ref="B39" authorId="1" shapeId="0" xr:uid="{4B532B3D-C9AA-4602-BD4D-9CB06F649F8D}">
      <text>
        <r>
          <rPr>
            <b/>
            <sz val="9"/>
            <color indexed="81"/>
            <rFont val="Tahoma"/>
            <family val="2"/>
          </rPr>
          <t>Aquí se coloca el nombre de la actividad que se va a realizar</t>
        </r>
        <r>
          <rPr>
            <sz val="9"/>
            <color indexed="81"/>
            <rFont val="Tahoma"/>
            <family val="2"/>
          </rPr>
          <t xml:space="preserve">
</t>
        </r>
      </text>
    </comment>
    <comment ref="B40" authorId="1" shapeId="0" xr:uid="{9140A7FE-BC7C-4F37-A75F-5D7A2A130FE7}">
      <text>
        <r>
          <rPr>
            <b/>
            <sz val="9"/>
            <color indexed="81"/>
            <rFont val="Tahoma"/>
            <family val="2"/>
          </rPr>
          <t>Aquí se coloca el nombre del simulacro: Incendio, derrame, sismo, etc.</t>
        </r>
        <r>
          <rPr>
            <sz val="9"/>
            <color indexed="81"/>
            <rFont val="Tahoma"/>
            <family val="2"/>
          </rPr>
          <t xml:space="preserve">
</t>
        </r>
      </text>
    </comment>
    <comment ref="B42" authorId="1" shapeId="0" xr:uid="{5D5C380C-7C52-4F1B-AA59-10D5BAB25B06}">
      <text>
        <r>
          <rPr>
            <b/>
            <sz val="9"/>
            <color indexed="81"/>
            <rFont val="Tahoma"/>
            <family val="2"/>
          </rPr>
          <t>Aquí se coloca el tipo de incidente y descripción de lo sucedido (Ejemp: Incidente ambiental: Derrame de combustible en xxxx)</t>
        </r>
        <r>
          <rPr>
            <sz val="9"/>
            <color indexed="81"/>
            <rFont val="Tahoma"/>
            <family val="2"/>
          </rPr>
          <t xml:space="preserve">
</t>
        </r>
      </text>
    </comment>
    <comment ref="B43" authorId="1" shapeId="0" xr:uid="{D3EF2C11-9524-4053-B6F1-2186679424D9}">
      <text>
        <r>
          <rPr>
            <b/>
            <sz val="9"/>
            <color indexed="81"/>
            <rFont val="Tahoma"/>
            <family val="2"/>
          </rPr>
          <t>Aquí se coloca el tipo de accidente ocurrido y descripción de lo sucedido (Ejemp: Fractura pie derecho por caida en desnivel en xxxx)</t>
        </r>
      </text>
    </comment>
    <comment ref="B45" authorId="1" shapeId="0" xr:uid="{47644CD9-6E5C-4116-B268-530150629524}">
      <text>
        <r>
          <rPr>
            <b/>
            <sz val="9"/>
            <color indexed="81"/>
            <rFont val="Tahoma"/>
            <family val="2"/>
          </rPr>
          <t>Aquí se describe el tipo de acto inseguro identificado</t>
        </r>
      </text>
    </comment>
    <comment ref="B46" authorId="1" shapeId="0" xr:uid="{CE8529D4-1585-4659-BB32-828B465E5317}">
      <text>
        <r>
          <rPr>
            <b/>
            <sz val="9"/>
            <color indexed="81"/>
            <rFont val="Tahoma"/>
            <family val="2"/>
          </rPr>
          <t>Aquí se describe el tipo de acto inseguro identificado</t>
        </r>
        <r>
          <rPr>
            <sz val="9"/>
            <color indexed="81"/>
            <rFont val="Tahoma"/>
            <family val="2"/>
          </rPr>
          <t xml:space="preserve">
</t>
        </r>
      </text>
    </comment>
    <comment ref="B47" authorId="1" shapeId="0" xr:uid="{9DB787EE-3664-4B01-8814-17F732FFEF68}">
      <text>
        <r>
          <rPr>
            <b/>
            <sz val="9"/>
            <color indexed="81"/>
            <rFont val="Tahoma"/>
            <family val="2"/>
          </rPr>
          <t>Aquí se describe la causa por la cual se ha detenido la actividad</t>
        </r>
        <r>
          <rPr>
            <sz val="9"/>
            <color indexed="81"/>
            <rFont val="Tahoma"/>
            <family val="2"/>
          </rPr>
          <t xml:space="preserve">
</t>
        </r>
      </text>
    </comment>
    <comment ref="A48" authorId="0" shapeId="0" xr:uid="{0C82BE32-692A-4CF1-B646-21FFED9AB59F}">
      <text>
        <r>
          <rPr>
            <b/>
            <sz val="9"/>
            <color indexed="81"/>
            <rFont val="Tahoma"/>
            <family val="2"/>
          </rPr>
          <t>Daisy Jimenez:</t>
        </r>
        <r>
          <rPr>
            <sz val="9"/>
            <color indexed="81"/>
            <rFont val="Tahoma"/>
            <family val="2"/>
          </rPr>
          <t xml:space="preserve">
Sólo se colocan las atenciones médicas que hayan sido atendidas en un Centro de Salud</t>
        </r>
      </text>
    </comment>
    <comment ref="E68" authorId="2" shapeId="0" xr:uid="{CDD306FB-E870-46E7-AF85-EEC88228C524}">
      <text>
        <r>
          <rPr>
            <b/>
            <sz val="9"/>
            <color indexed="81"/>
            <rFont val="Tahoma"/>
            <family val="2"/>
          </rPr>
          <t>Tatiana Paredes:
C: correctiva
P: preventiva
M: Mejora</t>
        </r>
        <r>
          <rPr>
            <sz val="9"/>
            <color indexed="81"/>
            <rFont val="Tahoma"/>
            <family val="2"/>
          </rPr>
          <t xml:space="preserve">
</t>
        </r>
      </text>
    </comment>
  </commentList>
</comments>
</file>

<file path=xl/sharedStrings.xml><?xml version="1.0" encoding="utf-8"?>
<sst xmlns="http://schemas.openxmlformats.org/spreadsheetml/2006/main" count="1357" uniqueCount="213">
  <si>
    <t>RESUMEN DIARIO HSE</t>
  </si>
  <si>
    <t xml:space="preserve">Codigo:TMA-PC-028-P62531-01
Revisión: 08
Fecha: 22-02-2024      </t>
  </si>
  <si>
    <r>
      <rPr>
        <b/>
        <sz val="10"/>
        <color theme="0"/>
        <rFont val="Arial"/>
        <family val="2"/>
      </rPr>
      <t>Proyecto:</t>
    </r>
    <r>
      <rPr>
        <sz val="10"/>
        <color theme="0"/>
        <rFont val="Arial"/>
        <family val="2"/>
      </rPr>
      <t xml:space="preserve"> </t>
    </r>
  </si>
  <si>
    <t>62531 SERVICIO DE LIMPIEZA LOTE 8 - (CONSORCIO SUMAK)</t>
  </si>
  <si>
    <t xml:space="preserve">Fecha: </t>
  </si>
  <si>
    <t>Cantidad Personas:</t>
  </si>
  <si>
    <t>Jefe de servicio</t>
  </si>
  <si>
    <t>Jefe de Serv 62531</t>
  </si>
  <si>
    <t>Supervisor HSE</t>
  </si>
  <si>
    <t>Supervisor HSE 62531</t>
  </si>
  <si>
    <t>Residente 1</t>
  </si>
  <si>
    <t>Residente 1 de 62531</t>
  </si>
  <si>
    <t>Residente 2</t>
  </si>
  <si>
    <t>Residente 2 de 62531</t>
  </si>
  <si>
    <t>Contacto 1</t>
  </si>
  <si>
    <t>Contacto 2 62531</t>
  </si>
  <si>
    <t>Contacto 2</t>
  </si>
  <si>
    <t>Contacto 1 62531</t>
  </si>
  <si>
    <t>2. ACTIVIDADES HSE</t>
  </si>
  <si>
    <t>1.- CAPACITACIONES</t>
  </si>
  <si>
    <t>Tiempo (min)</t>
  </si>
  <si>
    <t>Tiempo de Capacitación</t>
  </si>
  <si>
    <t>1.1</t>
  </si>
  <si>
    <t>Charla diaria</t>
  </si>
  <si>
    <t>1.2</t>
  </si>
  <si>
    <t>Capacitaciones</t>
  </si>
  <si>
    <t>1.3</t>
  </si>
  <si>
    <t>Inducciones-Reinducciones</t>
  </si>
  <si>
    <t>2.- INSPECCIONES</t>
  </si>
  <si>
    <t>Cantidad de Inspecciones</t>
  </si>
  <si>
    <t>EPP's</t>
  </si>
  <si>
    <t>Embarcación menor</t>
  </si>
  <si>
    <t>Herramientas manuales</t>
  </si>
  <si>
    <t>Motosierra</t>
  </si>
  <si>
    <t>Extintores</t>
  </si>
  <si>
    <t>Mochila de Emergencia</t>
  </si>
  <si>
    <t>Campamento</t>
  </si>
  <si>
    <t>Kit antiderreame</t>
  </si>
  <si>
    <t>Cocina/comedor/almacen</t>
  </si>
  <si>
    <t>2.10</t>
  </si>
  <si>
    <t>Almacenes</t>
  </si>
  <si>
    <t>Habitabilidad dormitorios, SSH</t>
  </si>
  <si>
    <t>Motobomba</t>
  </si>
  <si>
    <t>Otros (especificar):</t>
  </si>
  <si>
    <t>Total Inspecciones</t>
  </si>
  <si>
    <t>3.-</t>
  </si>
  <si>
    <t>ATS</t>
  </si>
  <si>
    <t>4.-</t>
  </si>
  <si>
    <t>PERMISOS DE TRABAJO</t>
  </si>
  <si>
    <t>5.-</t>
  </si>
  <si>
    <t>SIMULACROS</t>
  </si>
  <si>
    <t>3. OCURRENCIAS (Incidentes, Accidentes, atenciones médicas, desviaciones, etc)</t>
  </si>
  <si>
    <t>Cantidad</t>
  </si>
  <si>
    <r>
      <rPr>
        <b/>
        <sz val="10"/>
        <rFont val="Arial"/>
        <family val="2"/>
      </rPr>
      <t>Incidentes (Describir)</t>
    </r>
    <r>
      <rPr>
        <sz val="10"/>
        <rFont val="Arial"/>
        <family val="2"/>
      </rPr>
      <t xml:space="preserve">: </t>
    </r>
  </si>
  <si>
    <t>Accidentes (Describir):</t>
  </si>
  <si>
    <t>4.- Reportes RACSI / DETENCIONES PREVENTIVAS DE ACTIVIDAD (DPA)</t>
  </si>
  <si>
    <t>Cantidad de RACSI Diarios</t>
  </si>
  <si>
    <t>Actos inseguros subestándar:</t>
  </si>
  <si>
    <t>Condiciones inseguras subestándar:</t>
  </si>
  <si>
    <r>
      <rPr>
        <b/>
        <sz val="10"/>
        <rFont val="Arial"/>
        <family val="2"/>
      </rPr>
      <t>Detención Preventiva de Actividad</t>
    </r>
    <r>
      <rPr>
        <sz val="10"/>
        <rFont val="Arial"/>
        <family val="2"/>
      </rPr>
      <t>:</t>
    </r>
  </si>
  <si>
    <t>5.- ATENCIONES MÉDICAS</t>
  </si>
  <si>
    <t>Cardiovasculares</t>
  </si>
  <si>
    <t>Dermatológicas</t>
  </si>
  <si>
    <t>Digestivas/gastrointestinales</t>
  </si>
  <si>
    <t>Genitourinarias</t>
  </si>
  <si>
    <t>Neurológico</t>
  </si>
  <si>
    <t>Odontológico</t>
  </si>
  <si>
    <t>Oftalmológico</t>
  </si>
  <si>
    <t>Osteomusculares</t>
  </si>
  <si>
    <t>Otorrinológico</t>
  </si>
  <si>
    <t>5.10</t>
  </si>
  <si>
    <t>Parasitarias</t>
  </si>
  <si>
    <t>5.11</t>
  </si>
  <si>
    <t>Respiratorias</t>
  </si>
  <si>
    <t>5.12</t>
  </si>
  <si>
    <t>Enfermedades ocupacionales</t>
  </si>
  <si>
    <t>5.12.1</t>
  </si>
  <si>
    <t>Malaria Falciparum</t>
  </si>
  <si>
    <t>5.12.2</t>
  </si>
  <si>
    <t>Malaria Vivax</t>
  </si>
  <si>
    <t>5.12.3</t>
  </si>
  <si>
    <t>Malaria mixta</t>
  </si>
  <si>
    <t>Otros: nauseas, resfriados, virosis</t>
  </si>
  <si>
    <t>Total Atenciones Médicas</t>
  </si>
  <si>
    <t>6.-   SEGUIMIENTO DE ACCIONES CORRECTIVAS</t>
  </si>
  <si>
    <t>Desviación(AI/CI):</t>
  </si>
  <si>
    <t>Acción Correctiva</t>
  </si>
  <si>
    <t>Estado Acción Correctiva</t>
  </si>
  <si>
    <t>Tipo</t>
  </si>
  <si>
    <t>Reportante</t>
  </si>
  <si>
    <t>Tipo Medida: C/P/M</t>
  </si>
  <si>
    <t>Descripción de la medida</t>
  </si>
  <si>
    <t>Abierta/Cerrada</t>
  </si>
  <si>
    <t>Fecha: ejecución-
Cierre</t>
  </si>
  <si>
    <t>7.- MEDIO AMBIENTE- GENERACIÓN DE RESIDUOS SÓLIDOS</t>
  </si>
  <si>
    <t>Residuos No Peligrosos</t>
  </si>
  <si>
    <t>Papel-Cartón</t>
  </si>
  <si>
    <t>Plástico</t>
  </si>
  <si>
    <t>Vidrios</t>
  </si>
  <si>
    <t>Orgánicos</t>
  </si>
  <si>
    <t>Total generado por día</t>
  </si>
  <si>
    <t>Residuos Peligrosos</t>
  </si>
  <si>
    <t>Biomédicos</t>
  </si>
  <si>
    <t>Material HC</t>
  </si>
  <si>
    <t>8.  REFERENCIAS / FOTOS</t>
  </si>
  <si>
    <t>DNI</t>
  </si>
  <si>
    <t>TRABAJADOR</t>
  </si>
  <si>
    <t>05715485</t>
  </si>
  <si>
    <t xml:space="preserve">AHUANARI ASPAJO JOSE </t>
  </si>
  <si>
    <t>77053517</t>
  </si>
  <si>
    <t xml:space="preserve">APAGÜEÑO CURITIMA AVENAMAR </t>
  </si>
  <si>
    <t>62194143</t>
  </si>
  <si>
    <t xml:space="preserve">CAHUAZA IRARICA EXAR </t>
  </si>
  <si>
    <t>46721181</t>
  </si>
  <si>
    <t xml:space="preserve">CAHUAZA MURAYARI NIXON </t>
  </si>
  <si>
    <t>48561428</t>
  </si>
  <si>
    <t>CAYNAMARI MURAYARI RUSBEL ERIBERTO</t>
  </si>
  <si>
    <t>48869546</t>
  </si>
  <si>
    <t xml:space="preserve">FATAMA HIDALGO AQUILES </t>
  </si>
  <si>
    <t>62766247</t>
  </si>
  <si>
    <t xml:space="preserve">FLORES PEREA ALEXANDER </t>
  </si>
  <si>
    <t>77291532</t>
  </si>
  <si>
    <t xml:space="preserve">FLORES PEREA EXIDIO </t>
  </si>
  <si>
    <t>46711804</t>
  </si>
  <si>
    <t xml:space="preserve">FLORES PEREZ MARCELO </t>
  </si>
  <si>
    <t>48029504</t>
  </si>
  <si>
    <t xml:space="preserve">HUAYABAN AHUANARI RUSBEL </t>
  </si>
  <si>
    <t>80548679</t>
  </si>
  <si>
    <t>IRARICA PUYO FELIX ALEJANDRO</t>
  </si>
  <si>
    <t>60645455</t>
  </si>
  <si>
    <t>IRARICA SANCHEZ EUGENIO SANTIAGO</t>
  </si>
  <si>
    <t>60645456</t>
  </si>
  <si>
    <t>IRARICA SANCHEZ HECTOR TOMAS</t>
  </si>
  <si>
    <t>46407136</t>
  </si>
  <si>
    <t xml:space="preserve">IRARICA SANCHEZ LALO </t>
  </si>
  <si>
    <t>80544227</t>
  </si>
  <si>
    <t>IRARICA SANCHEZ LINKER</t>
  </si>
  <si>
    <t>76705794</t>
  </si>
  <si>
    <t>LOMAS PACAYA MARCOS LUIS</t>
  </si>
  <si>
    <t>45140040</t>
  </si>
  <si>
    <t xml:space="preserve">MACAYO YAICATE ABRAHAN </t>
  </si>
  <si>
    <t>47311382</t>
  </si>
  <si>
    <t xml:space="preserve">MACAYO YAICATE MARDEN </t>
  </si>
  <si>
    <t>46586818</t>
  </si>
  <si>
    <t xml:space="preserve">PACAYA MANAJO LLERSON </t>
  </si>
  <si>
    <t>47143310</t>
  </si>
  <si>
    <t>PERAZA SANDI SEGUNDO NIVER</t>
  </si>
  <si>
    <t>45362492</t>
  </si>
  <si>
    <t xml:space="preserve">PEREA ICOMENA EDO </t>
  </si>
  <si>
    <t>46355397</t>
  </si>
  <si>
    <t xml:space="preserve">PEREA ICOMENA HOBLITAS </t>
  </si>
  <si>
    <t>45362490</t>
  </si>
  <si>
    <t xml:space="preserve">PEREA ICOMENA SICO </t>
  </si>
  <si>
    <t>46357661</t>
  </si>
  <si>
    <t xml:space="preserve">PEREA ICOMENA TIM </t>
  </si>
  <si>
    <t>43858596</t>
  </si>
  <si>
    <t xml:space="preserve">PEREA ICOMENA ZIMIC </t>
  </si>
  <si>
    <t>60645474</t>
  </si>
  <si>
    <t>PEREA PEREYRA DANI DEYVIS</t>
  </si>
  <si>
    <t>48370747</t>
  </si>
  <si>
    <t>TIHUAIRO MURAYARI JORGE LUIS</t>
  </si>
  <si>
    <t>46532405</t>
  </si>
  <si>
    <t xml:space="preserve">TUANAMA CANAYO HERMOGENES </t>
  </si>
  <si>
    <t>63330814</t>
  </si>
  <si>
    <t>TUANAMA IRARICA HERMOGENES CURTI</t>
  </si>
  <si>
    <t>63330812</t>
  </si>
  <si>
    <t xml:space="preserve">TUANAMA IRARICA JAVAN </t>
  </si>
  <si>
    <t>05391897</t>
  </si>
  <si>
    <t>REATEGUI ARRARTE SALOMON EDUARDO</t>
  </si>
  <si>
    <t>42417535</t>
  </si>
  <si>
    <t>SANGAMA ALVAN RONI</t>
  </si>
  <si>
    <t>05709878</t>
  </si>
  <si>
    <t>TAMANI YAICATE CALIS</t>
  </si>
  <si>
    <t>74435274</t>
  </si>
  <si>
    <t>JUMACHI IRARICA CLEUDER ALDAIR</t>
  </si>
  <si>
    <t>44272432</t>
  </si>
  <si>
    <t>CARDENAS RIOJA CLEVER HUGO</t>
  </si>
  <si>
    <t>49082837</t>
  </si>
  <si>
    <t xml:space="preserve">NOTENO JIPA CLIDER </t>
  </si>
  <si>
    <t>63420960</t>
  </si>
  <si>
    <t>NAVARRO BARDALES DEYVIS OLDEMAR</t>
  </si>
  <si>
    <t>05707500</t>
  </si>
  <si>
    <t>PEREZ AREVALO ELIAS</t>
  </si>
  <si>
    <t>46711818</t>
  </si>
  <si>
    <t>RAMIREZ PACAYA BETO</t>
  </si>
  <si>
    <t>71824667</t>
  </si>
  <si>
    <t xml:space="preserve">PAREDES PARANA FRAIMEN PASTOR </t>
  </si>
  <si>
    <t>62194144</t>
  </si>
  <si>
    <t>CAHUAZA IRARICA JUNIOR DAVID</t>
  </si>
  <si>
    <t>REG 19 REPORTE DIARIO HSE</t>
  </si>
  <si>
    <r>
      <t>Proyecto:</t>
    </r>
    <r>
      <rPr>
        <sz val="10"/>
        <color theme="0"/>
        <rFont val="Arial"/>
        <family val="2"/>
      </rPr>
      <t xml:space="preserve"> </t>
    </r>
  </si>
  <si>
    <t>Fecha:</t>
  </si>
  <si>
    <t>LUGAR:</t>
  </si>
  <si>
    <t>Hora de Inicio:</t>
  </si>
  <si>
    <t>Hora Final:</t>
  </si>
  <si>
    <t>Supervisor HSE:</t>
  </si>
  <si>
    <t>Contactos del Cliente:</t>
  </si>
  <si>
    <t>Responsable de Campo:</t>
  </si>
  <si>
    <t>Descripción del Trabajo:</t>
  </si>
  <si>
    <t>1. PERSONAL</t>
  </si>
  <si>
    <t>3.1.</t>
  </si>
  <si>
    <r>
      <t>Incidentes (Describir)</t>
    </r>
    <r>
      <rPr>
        <sz val="10"/>
        <rFont val="Arial"/>
        <family val="2"/>
      </rPr>
      <t>:</t>
    </r>
  </si>
  <si>
    <t>3.2.</t>
  </si>
  <si>
    <t>4.1.</t>
  </si>
  <si>
    <t>4.2.</t>
  </si>
  <si>
    <t>4.3.</t>
  </si>
  <si>
    <t>Abierta / Cerrada</t>
  </si>
  <si>
    <t>AV</t>
  </si>
  <si>
    <t>Correctiva</t>
  </si>
  <si>
    <t>Lugar 1</t>
  </si>
  <si>
    <t>Responsable 1</t>
  </si>
  <si>
    <t>Lugar 2</t>
  </si>
  <si>
    <t>Responsable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</si>
</sst>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23"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0"/>
      <name val="Arial"/>
      <family val="2"/>
    </font>
    <font>
      <b/>
      <sz val="20"/>
      <name val="Arial"/>
      <family val="2"/>
    </font>
    <font>
      <b/>
      <sz val="10"/>
      <color theme="0"/>
      <name val="Arial"/>
      <family val="2"/>
    </font>
    <font>
      <sz val="10"/>
      <color theme="0"/>
      <name val="Arial"/>
      <family val="2"/>
    </font>
    <font>
      <b/>
      <sz val="10"/>
      <name val="Arial"/>
      <family val="2"/>
    </font>
    <font>
      <b/>
      <sz val="12"/>
      <color theme="0"/>
      <name val="Arial"/>
      <family val="2"/>
    </font>
    <font>
      <sz val="10"/>
      <color theme="1"/>
      <name val="Arial"/>
      <family val="2"/>
    </font>
    <font>
      <b/>
      <sz val="11"/>
      <color theme="0"/>
      <name val="Arial"/>
      <family val="2"/>
    </font>
    <font>
      <b/>
      <sz val="11"/>
      <name val="Arial"/>
      <family val="2"/>
    </font>
    <font>
      <b/>
      <sz val="10"/>
      <color theme="1"/>
      <name val="Arial"/>
      <family val="2"/>
    </font>
    <font>
      <b/>
      <sz val="9"/>
      <color theme="1"/>
      <name val="Arial"/>
      <family val="2"/>
    </font>
    <font>
      <sz val="9"/>
      <name val="Arial"/>
      <family val="2"/>
    </font>
    <font>
      <sz val="10"/>
      <color indexed="8"/>
      <name val="Arial"/>
      <family val="2"/>
    </font>
    <font>
      <b/>
      <sz val="9"/>
      <color indexed="81"/>
      <name val="Tahoma"/>
      <family val="2"/>
    </font>
    <font>
      <sz val="9"/>
      <color indexed="81"/>
      <name val="Tahoma"/>
      <family val="2"/>
    </font>
    <font>
      <sz val="9"/>
      <name val="Arial Narrow"/>
      <family val="2"/>
    </font>
    <font>
      <sz val="9"/>
      <color theme="1"/>
      <name val="Arial Narrow"/>
      <family val="2"/>
    </font>
    <font>
      <sz val="6.5"/>
      <color rgb="FF000000"/>
      <name val="Arial Narrow"/>
      <family val="2"/>
    </font>
    <font>
      <sz val="11"/>
      <color indexed="8"/>
      <name val="Arial"/>
      <family val="2"/>
    </font>
  </fonts>
  <fills count="14">
    <fill>
      <patternFill patternType="none"/>
    </fill>
    <fill>
      <patternFill patternType="gray125"/>
    </fill>
    <fill>
      <patternFill patternType="solid">
        <fgColor indexed="9"/>
        <bgColor indexed="64"/>
      </patternFill>
    </fill>
    <fill>
      <patternFill patternType="solid">
        <fgColor theme="4" tint="-0.499984740745262"/>
        <bgColor indexed="64"/>
      </patternFill>
    </fill>
    <fill>
      <patternFill patternType="solid">
        <fgColor theme="3" tint="-0.249977111117893"/>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249977111117893"/>
        <bgColor indexed="64"/>
      </patternFill>
    </fill>
  </fills>
  <borders count="6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style="thin">
        <color auto="1"/>
      </right>
      <top style="thin">
        <color auto="1"/>
      </top>
      <bottom style="medium">
        <color auto="1"/>
      </bottom>
      <diagonal/>
    </border>
    <border>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top/>
      <bottom/>
      <diagonal/>
    </border>
    <border>
      <left/>
      <right style="medium">
        <color indexed="64"/>
      </right>
      <top/>
      <bottom/>
      <diagonal/>
    </border>
    <border>
      <left/>
      <right style="thin">
        <color indexed="64"/>
      </right>
      <top style="thin">
        <color indexed="64"/>
      </top>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medium">
        <color indexed="64"/>
      </right>
      <top style="medium">
        <color indexed="64"/>
      </top>
      <bottom style="thin">
        <color indexed="64"/>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bottom style="medium">
        <color indexed="64"/>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auto="1"/>
      </left>
      <right style="thin">
        <color auto="1"/>
      </right>
      <top style="medium">
        <color auto="1"/>
      </top>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indexed="64"/>
      </left>
      <right style="medium">
        <color indexed="64"/>
      </right>
      <top style="medium">
        <color indexed="64"/>
      </top>
      <bottom/>
      <diagonal/>
    </border>
  </borders>
  <cellStyleXfs count="2">
    <xf numFmtId="0" fontId="0" fillId="0" borderId="0"/>
    <xf numFmtId="0" fontId="4" fillId="0" borderId="0"/>
  </cellStyleXfs>
  <cellXfs count="270">
    <xf numFmtId="0" fontId="0" fillId="0" borderId="0" xfId="0"/>
    <xf numFmtId="0" fontId="4" fillId="2" borderId="1" xfId="1" applyFill="1" applyBorder="1" applyAlignment="1">
      <alignment horizontal="left" vertical="center"/>
    </xf>
    <xf numFmtId="0" fontId="4" fillId="2" borderId="2" xfId="1" applyFill="1" applyBorder="1" applyAlignment="1">
      <alignment horizontal="left" vertical="center"/>
    </xf>
    <xf numFmtId="0" fontId="3" fillId="0" borderId="0" xfId="0" applyFont="1"/>
    <xf numFmtId="0" fontId="7" fillId="4" borderId="8" xfId="1" applyFont="1" applyFill="1" applyBorder="1" applyAlignment="1" applyProtection="1">
      <alignment horizontal="center" vertical="center"/>
      <protection hidden="1"/>
    </xf>
    <xf numFmtId="164" fontId="8" fillId="2" borderId="8" xfId="1" applyNumberFormat="1" applyFont="1" applyFill="1" applyBorder="1" applyAlignment="1" applyProtection="1">
      <alignment horizontal="center" vertical="center"/>
      <protection locked="0"/>
    </xf>
    <xf numFmtId="0" fontId="6" fillId="4" borderId="8" xfId="1" applyFont="1" applyFill="1" applyBorder="1" applyAlignment="1" applyProtection="1">
      <alignment horizontal="center" vertical="center" wrapText="1"/>
      <protection hidden="1"/>
    </xf>
    <xf numFmtId="0" fontId="8" fillId="0" borderId="9" xfId="1" applyFont="1" applyBorder="1" applyAlignment="1" applyProtection="1">
      <alignment horizontal="center" vertical="center"/>
      <protection locked="0"/>
    </xf>
    <xf numFmtId="0" fontId="0" fillId="0" borderId="0" xfId="0" applyAlignment="1" applyProtection="1">
      <alignment vertical="center"/>
      <protection hidden="1"/>
    </xf>
    <xf numFmtId="0" fontId="7" fillId="4" borderId="14" xfId="1" applyFont="1" applyFill="1" applyBorder="1" applyAlignment="1" applyProtection="1">
      <alignment horizontal="center" vertical="center"/>
      <protection hidden="1"/>
    </xf>
    <xf numFmtId="0" fontId="6" fillId="4" borderId="16" xfId="1" applyFont="1" applyFill="1" applyBorder="1" applyAlignment="1" applyProtection="1">
      <alignment horizontal="center" vertical="center" wrapText="1"/>
      <protection hidden="1"/>
    </xf>
    <xf numFmtId="0" fontId="6" fillId="4" borderId="17" xfId="1" applyFont="1" applyFill="1" applyBorder="1" applyAlignment="1" applyProtection="1">
      <alignment horizontal="left" vertical="center" wrapText="1"/>
      <protection hidden="1"/>
    </xf>
    <xf numFmtId="0" fontId="7" fillId="4" borderId="21" xfId="1" applyFont="1" applyFill="1" applyBorder="1" applyAlignment="1" applyProtection="1">
      <alignment horizontal="center" vertical="center"/>
      <protection hidden="1"/>
    </xf>
    <xf numFmtId="0" fontId="6" fillId="5" borderId="14" xfId="1" applyFont="1" applyFill="1" applyBorder="1" applyAlignment="1">
      <alignment horizontal="center" vertical="center" wrapText="1"/>
    </xf>
    <xf numFmtId="0" fontId="6" fillId="5" borderId="12" xfId="1" applyFont="1" applyFill="1" applyBorder="1" applyAlignment="1">
      <alignment horizontal="center" vertical="center" wrapText="1"/>
    </xf>
    <xf numFmtId="0" fontId="8" fillId="6" borderId="29" xfId="1" applyFont="1" applyFill="1" applyBorder="1" applyAlignment="1">
      <alignment horizontal="center" vertical="center"/>
    </xf>
    <xf numFmtId="0" fontId="0" fillId="0" borderId="0" xfId="0" applyAlignment="1">
      <alignment vertical="center"/>
    </xf>
    <xf numFmtId="0" fontId="8" fillId="7" borderId="10" xfId="1" applyFont="1" applyFill="1" applyBorder="1" applyAlignment="1">
      <alignment horizontal="left" vertical="center"/>
    </xf>
    <xf numFmtId="0" fontId="8" fillId="7" borderId="12" xfId="1" applyFont="1" applyFill="1" applyBorder="1" applyAlignment="1">
      <alignment horizontal="center" vertical="center"/>
    </xf>
    <xf numFmtId="0" fontId="8" fillId="7" borderId="14" xfId="1" applyFont="1" applyFill="1" applyBorder="1" applyAlignment="1">
      <alignment horizontal="center" vertical="center"/>
    </xf>
    <xf numFmtId="2" fontId="8" fillId="7" borderId="11" xfId="1" applyNumberFormat="1" applyFont="1" applyFill="1" applyBorder="1" applyAlignment="1">
      <alignment horizontal="center" vertical="center"/>
    </xf>
    <xf numFmtId="0" fontId="4" fillId="6" borderId="31" xfId="1" applyFill="1" applyBorder="1" applyAlignment="1">
      <alignment horizontal="center" vertical="center"/>
    </xf>
    <xf numFmtId="0" fontId="8" fillId="6" borderId="31" xfId="1" applyFont="1" applyFill="1" applyBorder="1" applyAlignment="1">
      <alignment horizontal="center" vertical="center" wrapText="1"/>
    </xf>
    <xf numFmtId="0" fontId="10" fillId="0" borderId="13" xfId="1" applyFont="1" applyBorder="1" applyAlignment="1">
      <alignment horizontal="center" vertical="center" wrapText="1"/>
    </xf>
    <xf numFmtId="0" fontId="10" fillId="6" borderId="31" xfId="1" applyFont="1" applyFill="1" applyBorder="1" applyAlignment="1">
      <alignment horizontal="center" vertical="center" wrapText="1"/>
    </xf>
    <xf numFmtId="0" fontId="8" fillId="7" borderId="13" xfId="1" applyFont="1" applyFill="1" applyBorder="1" applyAlignment="1">
      <alignment vertical="center"/>
    </xf>
    <xf numFmtId="0" fontId="8" fillId="7" borderId="11" xfId="1" applyFont="1" applyFill="1" applyBorder="1" applyAlignment="1">
      <alignment vertical="center"/>
    </xf>
    <xf numFmtId="0" fontId="10" fillId="0" borderId="12" xfId="1" applyFont="1" applyBorder="1" applyAlignment="1">
      <alignment horizontal="center" vertical="center" wrapText="1"/>
    </xf>
    <xf numFmtId="0" fontId="8" fillId="7" borderId="10" xfId="1" quotePrefix="1" applyFont="1" applyFill="1" applyBorder="1" applyAlignment="1">
      <alignment horizontal="left" vertical="center"/>
    </xf>
    <xf numFmtId="0" fontId="11" fillId="8" borderId="12" xfId="1" applyFont="1" applyFill="1" applyBorder="1" applyAlignment="1">
      <alignment horizontal="center" vertical="center" wrapText="1"/>
    </xf>
    <xf numFmtId="0" fontId="12" fillId="6" borderId="31" xfId="1" applyFont="1" applyFill="1" applyBorder="1" applyAlignment="1">
      <alignment horizontal="center" vertical="center" wrapText="1"/>
    </xf>
    <xf numFmtId="0" fontId="6" fillId="5" borderId="34" xfId="1" applyFont="1" applyFill="1" applyBorder="1" applyAlignment="1">
      <alignment horizontal="left" vertical="center"/>
    </xf>
    <xf numFmtId="0" fontId="6" fillId="5" borderId="11" xfId="1" applyFont="1" applyFill="1" applyBorder="1" applyAlignment="1">
      <alignment horizontal="center" vertical="center" wrapText="1"/>
    </xf>
    <xf numFmtId="0" fontId="4" fillId="6" borderId="31" xfId="1" applyFill="1" applyBorder="1" applyAlignment="1">
      <alignment horizontal="center" vertical="center" wrapText="1"/>
    </xf>
    <xf numFmtId="0" fontId="6" fillId="5" borderId="24" xfId="1" applyFont="1" applyFill="1" applyBorder="1" applyAlignment="1">
      <alignment horizontal="center" vertical="center" wrapText="1"/>
    </xf>
    <xf numFmtId="0" fontId="9" fillId="3" borderId="8" xfId="1" applyFont="1" applyFill="1" applyBorder="1" applyAlignment="1">
      <alignment horizontal="center" vertical="center"/>
    </xf>
    <xf numFmtId="0" fontId="13" fillId="7" borderId="14" xfId="1" applyFont="1" applyFill="1" applyBorder="1" applyAlignment="1">
      <alignment horizontal="center" vertical="center" wrapText="1"/>
    </xf>
    <xf numFmtId="0" fontId="8" fillId="6" borderId="29" xfId="1" applyFont="1" applyFill="1" applyBorder="1" applyAlignment="1">
      <alignment horizontal="center" vertical="center" wrapText="1"/>
    </xf>
    <xf numFmtId="0" fontId="8" fillId="6" borderId="28" xfId="1" applyFont="1" applyFill="1" applyBorder="1" applyAlignment="1">
      <alignment vertical="center" wrapText="1"/>
    </xf>
    <xf numFmtId="0" fontId="8" fillId="6" borderId="30" xfId="1" applyFont="1" applyFill="1" applyBorder="1" applyAlignment="1">
      <alignment vertical="center" wrapText="1"/>
    </xf>
    <xf numFmtId="0" fontId="0" fillId="0" borderId="0" xfId="0" applyAlignment="1">
      <alignment horizontal="center"/>
    </xf>
    <xf numFmtId="0" fontId="8" fillId="7" borderId="37" xfId="1" applyFont="1" applyFill="1" applyBorder="1" applyAlignment="1">
      <alignment horizontal="left" vertical="center"/>
    </xf>
    <xf numFmtId="0" fontId="13" fillId="7" borderId="21" xfId="1" applyFont="1" applyFill="1" applyBorder="1" applyAlignment="1">
      <alignment horizontal="center" vertical="center" wrapText="1"/>
    </xf>
    <xf numFmtId="0" fontId="8" fillId="6" borderId="38" xfId="1" applyFont="1" applyFill="1" applyBorder="1" applyAlignment="1">
      <alignment horizontal="center" vertical="center" wrapText="1"/>
    </xf>
    <xf numFmtId="0" fontId="8" fillId="6" borderId="39" xfId="1" applyFont="1" applyFill="1" applyBorder="1" applyAlignment="1">
      <alignment vertical="center" wrapText="1"/>
    </xf>
    <xf numFmtId="0" fontId="8" fillId="6" borderId="40" xfId="1" applyFont="1" applyFill="1" applyBorder="1" applyAlignment="1">
      <alignment vertical="center" wrapText="1"/>
    </xf>
    <xf numFmtId="0" fontId="11" fillId="3" borderId="8" xfId="1" applyFont="1" applyFill="1" applyBorder="1" applyAlignment="1">
      <alignment horizontal="center" vertical="center" wrapText="1"/>
    </xf>
    <xf numFmtId="0" fontId="13" fillId="6" borderId="31" xfId="1" applyFont="1" applyFill="1" applyBorder="1" applyAlignment="1">
      <alignment horizontal="center" vertical="center" wrapText="1"/>
    </xf>
    <xf numFmtId="0" fontId="8" fillId="6" borderId="0" xfId="1" applyFont="1" applyFill="1" applyAlignment="1">
      <alignment vertical="center" wrapText="1"/>
    </xf>
    <xf numFmtId="0" fontId="8" fillId="6" borderId="32" xfId="1" applyFont="1" applyFill="1" applyBorder="1" applyAlignment="1">
      <alignment vertical="center" wrapText="1"/>
    </xf>
    <xf numFmtId="0" fontId="13" fillId="6" borderId="39" xfId="1" applyFont="1" applyFill="1" applyBorder="1" applyAlignment="1">
      <alignment horizontal="center" vertical="center" wrapText="1"/>
    </xf>
    <xf numFmtId="0" fontId="4" fillId="0" borderId="42" xfId="1" applyBorder="1" applyAlignment="1">
      <alignment horizontal="center" vertical="center" wrapText="1"/>
    </xf>
    <xf numFmtId="0" fontId="4" fillId="0" borderId="13" xfId="1" applyBorder="1" applyAlignment="1">
      <alignment horizontal="center" vertical="center" wrapText="1"/>
    </xf>
    <xf numFmtId="0" fontId="4" fillId="0" borderId="43" xfId="1" applyBorder="1" applyAlignment="1">
      <alignment horizontal="center" vertical="center" wrapText="1"/>
    </xf>
    <xf numFmtId="0" fontId="4" fillId="0" borderId="12" xfId="1" applyBorder="1" applyAlignment="1">
      <alignment horizontal="center" vertical="center" wrapText="1"/>
    </xf>
    <xf numFmtId="0" fontId="12" fillId="9" borderId="0" xfId="0" applyFont="1" applyFill="1"/>
    <xf numFmtId="0" fontId="8" fillId="7" borderId="14" xfId="1" applyFont="1" applyFill="1" applyBorder="1" applyAlignment="1">
      <alignment horizontal="center" vertical="center" wrapText="1"/>
    </xf>
    <xf numFmtId="0" fontId="8" fillId="7" borderId="45" xfId="1" applyFont="1" applyFill="1" applyBorder="1" applyAlignment="1">
      <alignment horizontal="center" vertical="center" wrapText="1"/>
    </xf>
    <xf numFmtId="0" fontId="0" fillId="9" borderId="0" xfId="0" applyFill="1"/>
    <xf numFmtId="2" fontId="15" fillId="0" borderId="14" xfId="1" applyNumberFormat="1" applyFont="1" applyBorder="1" applyAlignment="1">
      <alignment horizontal="center" vertical="center"/>
    </xf>
    <xf numFmtId="0" fontId="4" fillId="0" borderId="14" xfId="1" applyBorder="1" applyAlignment="1">
      <alignment horizontal="center" vertical="center"/>
    </xf>
    <xf numFmtId="14" fontId="4" fillId="0" borderId="45" xfId="1" applyNumberFormat="1" applyBorder="1" applyAlignment="1">
      <alignment horizontal="center" vertical="center" wrapText="1"/>
    </xf>
    <xf numFmtId="2" fontId="15" fillId="0" borderId="21" xfId="1" applyNumberFormat="1" applyFont="1" applyBorder="1" applyAlignment="1">
      <alignment horizontal="center" vertical="center"/>
    </xf>
    <xf numFmtId="0" fontId="4" fillId="0" borderId="21" xfId="1" applyBorder="1" applyAlignment="1">
      <alignment horizontal="center" vertical="center"/>
    </xf>
    <xf numFmtId="14" fontId="4" fillId="0" borderId="46" xfId="1" applyNumberFormat="1" applyBorder="1" applyAlignment="1">
      <alignment horizontal="center" vertical="center" wrapText="1"/>
    </xf>
    <xf numFmtId="2" fontId="10" fillId="9" borderId="14" xfId="1" applyNumberFormat="1" applyFont="1" applyFill="1" applyBorder="1" applyAlignment="1">
      <alignment horizontal="center" vertical="center"/>
    </xf>
    <xf numFmtId="2" fontId="8" fillId="9" borderId="14" xfId="1" applyNumberFormat="1" applyFont="1" applyFill="1" applyBorder="1" applyAlignment="1">
      <alignment horizontal="center" vertical="center"/>
    </xf>
    <xf numFmtId="0" fontId="13" fillId="7" borderId="14" xfId="1" applyFont="1" applyFill="1" applyBorder="1" applyAlignment="1">
      <alignment horizontal="center" vertical="center"/>
    </xf>
    <xf numFmtId="2" fontId="10" fillId="7" borderId="14" xfId="1" applyNumberFormat="1" applyFont="1" applyFill="1" applyBorder="1" applyAlignment="1">
      <alignment horizontal="center" vertical="center"/>
    </xf>
    <xf numFmtId="2" fontId="10" fillId="9" borderId="21" xfId="1" applyNumberFormat="1" applyFont="1" applyFill="1" applyBorder="1" applyAlignment="1">
      <alignment horizontal="center" vertical="center"/>
    </xf>
    <xf numFmtId="2" fontId="13" fillId="9" borderId="21" xfId="1" applyNumberFormat="1" applyFont="1" applyFill="1" applyBorder="1" applyAlignment="1">
      <alignment horizontal="center" vertical="center"/>
    </xf>
    <xf numFmtId="0" fontId="9" fillId="3" borderId="7" xfId="1" applyFont="1" applyFill="1" applyBorder="1" applyAlignment="1">
      <alignment vertical="center" wrapText="1"/>
    </xf>
    <xf numFmtId="0" fontId="9" fillId="3" borderId="44" xfId="1" applyFont="1" applyFill="1" applyBorder="1" applyAlignment="1">
      <alignment vertical="center" wrapText="1"/>
    </xf>
    <xf numFmtId="0" fontId="1" fillId="11" borderId="50" xfId="0" applyFont="1" applyFill="1" applyBorder="1"/>
    <xf numFmtId="0" fontId="1" fillId="11" borderId="51" xfId="0" applyFont="1" applyFill="1" applyBorder="1"/>
    <xf numFmtId="0" fontId="0" fillId="12" borderId="50" xfId="0" applyFill="1" applyBorder="1"/>
    <xf numFmtId="0" fontId="0" fillId="12" borderId="51" xfId="0" applyFill="1" applyBorder="1"/>
    <xf numFmtId="0" fontId="0" fillId="0" borderId="50" xfId="0" applyBorder="1"/>
    <xf numFmtId="0" fontId="0" fillId="0" borderId="51" xfId="0" applyBorder="1"/>
    <xf numFmtId="0" fontId="0" fillId="0" borderId="52" xfId="0" applyBorder="1"/>
    <xf numFmtId="0" fontId="0" fillId="0" borderId="53" xfId="0" applyBorder="1"/>
    <xf numFmtId="0" fontId="4" fillId="2" borderId="54" xfId="1" applyFill="1" applyBorder="1" applyAlignment="1">
      <alignment horizontal="left" vertical="center"/>
    </xf>
    <xf numFmtId="0" fontId="4" fillId="2" borderId="55" xfId="1" applyFill="1" applyBorder="1" applyAlignment="1">
      <alignment horizontal="left" vertical="center"/>
    </xf>
    <xf numFmtId="0" fontId="6" fillId="13" borderId="8" xfId="1" applyFont="1" applyFill="1" applyBorder="1" applyAlignment="1">
      <alignment horizontal="left" vertical="center"/>
    </xf>
    <xf numFmtId="0" fontId="6" fillId="13" borderId="8" xfId="1" applyFont="1" applyFill="1" applyBorder="1" applyAlignment="1">
      <alignment horizontal="left" vertical="center" wrapText="1"/>
    </xf>
    <xf numFmtId="0" fontId="4" fillId="0" borderId="9" xfId="1" applyBorder="1" applyAlignment="1">
      <alignment horizontal="center" vertical="center"/>
    </xf>
    <xf numFmtId="0" fontId="6" fillId="13" borderId="14" xfId="1" applyFont="1" applyFill="1" applyBorder="1" applyAlignment="1">
      <alignment horizontal="left" vertical="center"/>
    </xf>
    <xf numFmtId="165" fontId="10" fillId="0" borderId="45" xfId="1" applyNumberFormat="1" applyFont="1" applyBorder="1" applyAlignment="1" applyProtection="1">
      <alignment horizontal="center" vertical="center"/>
      <protection locked="0"/>
    </xf>
    <xf numFmtId="0" fontId="21" fillId="0" borderId="14" xfId="0" applyFont="1" applyBorder="1" applyAlignment="1" applyProtection="1">
      <alignment vertical="center"/>
      <protection locked="0"/>
    </xf>
    <xf numFmtId="0" fontId="8" fillId="7" borderId="12" xfId="1" applyFont="1" applyFill="1" applyBorder="1" applyAlignment="1">
      <alignment horizontal="left" vertical="center"/>
    </xf>
    <xf numFmtId="1" fontId="8" fillId="7" borderId="12" xfId="1" applyNumberFormat="1" applyFont="1" applyFill="1" applyBorder="1" applyAlignment="1">
      <alignment horizontal="center" vertical="center"/>
    </xf>
    <xf numFmtId="1" fontId="8" fillId="7" borderId="14" xfId="1" applyNumberFormat="1" applyFont="1" applyFill="1" applyBorder="1" applyAlignment="1">
      <alignment horizontal="center" vertical="center"/>
    </xf>
    <xf numFmtId="2" fontId="8" fillId="7" borderId="14" xfId="1" applyNumberFormat="1" applyFont="1" applyFill="1" applyBorder="1" applyAlignment="1">
      <alignment horizontal="center" vertical="center"/>
    </xf>
    <xf numFmtId="0" fontId="10" fillId="0" borderId="13" xfId="1" applyFont="1" applyBorder="1" applyAlignment="1" applyProtection="1">
      <alignment horizontal="center" vertical="center" wrapText="1"/>
      <protection locked="0"/>
    </xf>
    <xf numFmtId="0" fontId="10" fillId="0" borderId="12" xfId="1" applyFont="1" applyBorder="1" applyAlignment="1" applyProtection="1">
      <alignment horizontal="center" vertical="center" wrapText="1"/>
      <protection locked="0"/>
    </xf>
    <xf numFmtId="0" fontId="6" fillId="5" borderId="57" xfId="1" applyFont="1" applyFill="1" applyBorder="1" applyAlignment="1">
      <alignment horizontal="left" vertical="center"/>
    </xf>
    <xf numFmtId="3" fontId="6" fillId="5" borderId="57" xfId="1" applyNumberFormat="1" applyFont="1" applyFill="1" applyBorder="1" applyAlignment="1">
      <alignment horizontal="center" vertical="center" wrapText="1"/>
    </xf>
    <xf numFmtId="0" fontId="6" fillId="5" borderId="25" xfId="1" applyFont="1" applyFill="1" applyBorder="1" applyAlignment="1">
      <alignment horizontal="left" vertical="center"/>
    </xf>
    <xf numFmtId="3" fontId="6" fillId="5" borderId="25" xfId="1" applyNumberFormat="1" applyFont="1" applyFill="1" applyBorder="1" applyAlignment="1">
      <alignment horizontal="center" vertical="center" wrapText="1"/>
    </xf>
    <xf numFmtId="0" fontId="9" fillId="3" borderId="36" xfId="1" applyFont="1" applyFill="1" applyBorder="1" applyAlignment="1">
      <alignment horizontal="center" vertical="center"/>
    </xf>
    <xf numFmtId="0" fontId="8" fillId="7" borderId="57" xfId="1" applyFont="1" applyFill="1" applyBorder="1" applyAlignment="1">
      <alignment horizontal="left" vertical="center"/>
    </xf>
    <xf numFmtId="3" fontId="13" fillId="7" borderId="57" xfId="1" applyNumberFormat="1" applyFont="1" applyFill="1" applyBorder="1" applyAlignment="1">
      <alignment horizontal="center" vertical="center" wrapText="1"/>
    </xf>
    <xf numFmtId="0" fontId="8" fillId="7" borderId="25" xfId="1" applyFont="1" applyFill="1" applyBorder="1" applyAlignment="1">
      <alignment horizontal="left" vertical="center"/>
    </xf>
    <xf numFmtId="3" fontId="13" fillId="7" borderId="25" xfId="1" applyNumberFormat="1" applyFont="1" applyFill="1" applyBorder="1" applyAlignment="1">
      <alignment horizontal="center" vertical="center" wrapText="1"/>
    </xf>
    <xf numFmtId="0" fontId="11" fillId="3" borderId="36" xfId="1" applyFont="1" applyFill="1" applyBorder="1" applyAlignment="1">
      <alignment horizontal="center" vertical="center" wrapText="1"/>
    </xf>
    <xf numFmtId="0" fontId="8" fillId="7" borderId="14" xfId="1" applyFont="1" applyFill="1" applyBorder="1" applyAlignment="1">
      <alignment horizontal="left" vertical="center"/>
    </xf>
    <xf numFmtId="3" fontId="13" fillId="7" borderId="14" xfId="1" applyNumberFormat="1" applyFont="1" applyFill="1" applyBorder="1" applyAlignment="1">
      <alignment horizontal="center" vertical="center" wrapText="1"/>
    </xf>
    <xf numFmtId="0" fontId="4" fillId="0" borderId="42" xfId="1" applyBorder="1" applyAlignment="1" applyProtection="1">
      <alignment horizontal="center" vertical="center" wrapText="1"/>
      <protection locked="0"/>
    </xf>
    <xf numFmtId="0" fontId="9" fillId="3" borderId="4" xfId="1" applyFont="1" applyFill="1" applyBorder="1" applyAlignment="1">
      <alignment horizontal="left" vertical="center" wrapText="1"/>
    </xf>
    <xf numFmtId="0" fontId="9" fillId="3" borderId="7" xfId="1" applyFont="1" applyFill="1" applyBorder="1" applyAlignment="1">
      <alignment horizontal="left" vertical="center" wrapText="1"/>
    </xf>
    <xf numFmtId="0" fontId="9" fillId="0" borderId="10" xfId="1" applyFont="1" applyBorder="1" applyAlignment="1">
      <alignment horizontal="center" vertical="center" wrapText="1"/>
    </xf>
    <xf numFmtId="0" fontId="9" fillId="0" borderId="13" xfId="1" applyFont="1" applyBorder="1" applyAlignment="1">
      <alignment horizontal="center" vertical="center" wrapText="1"/>
    </xf>
    <xf numFmtId="0" fontId="9" fillId="0" borderId="12" xfId="1" applyFont="1" applyBorder="1" applyAlignment="1">
      <alignment horizontal="center" vertical="center" wrapText="1"/>
    </xf>
    <xf numFmtId="0" fontId="9" fillId="0" borderId="11" xfId="1" applyFont="1" applyBorder="1" applyAlignment="1">
      <alignment horizontal="center" vertical="center" wrapText="1"/>
    </xf>
    <xf numFmtId="0" fontId="8" fillId="9" borderId="37" xfId="1" applyFont="1" applyFill="1" applyBorder="1" applyAlignment="1">
      <alignment horizontal="center" vertical="center" wrapText="1"/>
    </xf>
    <xf numFmtId="0" fontId="8" fillId="9" borderId="19" xfId="1" applyFont="1" applyFill="1" applyBorder="1" applyAlignment="1">
      <alignment horizontal="center" vertical="center" wrapText="1"/>
    </xf>
    <xf numFmtId="0" fontId="8" fillId="9" borderId="20" xfId="1" applyFont="1" applyFill="1" applyBorder="1" applyAlignment="1">
      <alignment horizontal="center" vertical="center" wrapText="1"/>
    </xf>
    <xf numFmtId="0" fontId="8" fillId="9" borderId="18" xfId="1" applyFont="1" applyFill="1" applyBorder="1" applyAlignment="1">
      <alignment horizontal="center" vertical="center" wrapText="1"/>
    </xf>
    <xf numFmtId="0" fontId="4" fillId="9" borderId="21" xfId="1" applyFill="1" applyBorder="1" applyAlignment="1">
      <alignment horizontal="center" vertical="center" wrapText="1"/>
    </xf>
    <xf numFmtId="16" fontId="16" fillId="2" borderId="21" xfId="1" applyNumberFormat="1" applyFont="1" applyFill="1" applyBorder="1" applyAlignment="1">
      <alignment horizontal="center" vertical="center" wrapText="1"/>
    </xf>
    <xf numFmtId="16" fontId="16" fillId="2" borderId="46" xfId="1" applyNumberFormat="1" applyFont="1" applyFill="1" applyBorder="1" applyAlignment="1">
      <alignment horizontal="center" vertical="center" wrapText="1"/>
    </xf>
    <xf numFmtId="0" fontId="9" fillId="3" borderId="44" xfId="1" applyFont="1" applyFill="1" applyBorder="1" applyAlignment="1">
      <alignment horizontal="left" vertical="center" wrapText="1"/>
    </xf>
    <xf numFmtId="0" fontId="8" fillId="7" borderId="27" xfId="1" applyFont="1" applyFill="1" applyBorder="1" applyAlignment="1">
      <alignment horizontal="center" vertical="center"/>
    </xf>
    <xf numFmtId="0" fontId="8" fillId="7" borderId="28" xfId="1" applyFont="1" applyFill="1" applyBorder="1" applyAlignment="1">
      <alignment horizontal="center" vertical="center"/>
    </xf>
    <xf numFmtId="0" fontId="8" fillId="7" borderId="33" xfId="1" applyFont="1" applyFill="1" applyBorder="1" applyAlignment="1">
      <alignment horizontal="center" vertical="center"/>
    </xf>
    <xf numFmtId="0" fontId="8" fillId="7" borderId="47" xfId="1" applyFont="1" applyFill="1" applyBorder="1" applyAlignment="1">
      <alignment horizontal="center" vertical="center"/>
    </xf>
    <xf numFmtId="0" fontId="8" fillId="7" borderId="42" xfId="1" applyFont="1" applyFill="1" applyBorder="1" applyAlignment="1">
      <alignment horizontal="center" vertical="center"/>
    </xf>
    <xf numFmtId="0" fontId="8" fillId="7" borderId="48" xfId="1" applyFont="1" applyFill="1" applyBorder="1" applyAlignment="1">
      <alignment horizontal="center" vertical="center"/>
    </xf>
    <xf numFmtId="0" fontId="8" fillId="7" borderId="12" xfId="1" applyFont="1" applyFill="1" applyBorder="1" applyAlignment="1">
      <alignment horizontal="center" vertical="center"/>
    </xf>
    <xf numFmtId="0" fontId="8" fillId="7" borderId="11" xfId="1" applyFont="1" applyFill="1" applyBorder="1" applyAlignment="1">
      <alignment horizontal="center" vertical="center"/>
    </xf>
    <xf numFmtId="0" fontId="8" fillId="10" borderId="26" xfId="1" applyFont="1" applyFill="1" applyBorder="1" applyAlignment="1">
      <alignment horizontal="center" vertical="center" wrapText="1"/>
    </xf>
    <xf numFmtId="0" fontId="8" fillId="10" borderId="49" xfId="1" applyFont="1" applyFill="1" applyBorder="1" applyAlignment="1">
      <alignment horizontal="center" vertical="center" wrapText="1"/>
    </xf>
    <xf numFmtId="2" fontId="10" fillId="9" borderId="12" xfId="1" applyNumberFormat="1" applyFont="1" applyFill="1" applyBorder="1" applyAlignment="1">
      <alignment horizontal="center" vertical="center"/>
    </xf>
    <xf numFmtId="2" fontId="10" fillId="9" borderId="11" xfId="1" applyNumberFormat="1" applyFont="1" applyFill="1" applyBorder="1" applyAlignment="1">
      <alignment horizontal="center" vertical="center"/>
    </xf>
    <xf numFmtId="0" fontId="13" fillId="7" borderId="27" xfId="1" applyFont="1" applyFill="1" applyBorder="1" applyAlignment="1">
      <alignment horizontal="center" vertical="center"/>
    </xf>
    <xf numFmtId="0" fontId="13" fillId="7" borderId="28" xfId="1" applyFont="1" applyFill="1" applyBorder="1" applyAlignment="1">
      <alignment horizontal="center" vertical="center"/>
    </xf>
    <xf numFmtId="0" fontId="13" fillId="7" borderId="33" xfId="1" applyFont="1" applyFill="1" applyBorder="1" applyAlignment="1">
      <alignment horizontal="center" vertical="center"/>
    </xf>
    <xf numFmtId="0" fontId="13" fillId="7" borderId="16" xfId="1" applyFont="1" applyFill="1" applyBorder="1" applyAlignment="1">
      <alignment horizontal="center" vertical="center"/>
    </xf>
    <xf numFmtId="0" fontId="13" fillId="7" borderId="39" xfId="1" applyFont="1" applyFill="1" applyBorder="1" applyAlignment="1">
      <alignment horizontal="center" vertical="center"/>
    </xf>
    <xf numFmtId="0" fontId="13" fillId="7" borderId="17" xfId="1" applyFont="1" applyFill="1" applyBorder="1" applyAlignment="1">
      <alignment horizontal="center" vertical="center"/>
    </xf>
    <xf numFmtId="2" fontId="10" fillId="7" borderId="12" xfId="1" applyNumberFormat="1" applyFont="1" applyFill="1" applyBorder="1" applyAlignment="1">
      <alignment horizontal="center" vertical="center"/>
    </xf>
    <xf numFmtId="2" fontId="10" fillId="7" borderId="11" xfId="1" applyNumberFormat="1" applyFont="1" applyFill="1" applyBorder="1" applyAlignment="1">
      <alignment horizontal="center" vertical="center"/>
    </xf>
    <xf numFmtId="2" fontId="10" fillId="9" borderId="18" xfId="1" applyNumberFormat="1" applyFont="1" applyFill="1" applyBorder="1" applyAlignment="1">
      <alignment horizontal="center" vertical="center"/>
    </xf>
    <xf numFmtId="2" fontId="10" fillId="9" borderId="20" xfId="1" applyNumberFormat="1" applyFont="1" applyFill="1" applyBorder="1" applyAlignment="1">
      <alignment horizontal="center" vertical="center"/>
    </xf>
    <xf numFmtId="0" fontId="4" fillId="0" borderId="10" xfId="1" applyBorder="1" applyAlignment="1">
      <alignment horizontal="center" vertical="center" wrapText="1"/>
    </xf>
    <xf numFmtId="0" fontId="4" fillId="0" borderId="11" xfId="1" applyBorder="1" applyAlignment="1">
      <alignment horizontal="center" vertical="center" wrapText="1"/>
    </xf>
    <xf numFmtId="0" fontId="4" fillId="0" borderId="12" xfId="1" applyBorder="1" applyAlignment="1">
      <alignment horizontal="center" vertical="center" wrapText="1"/>
    </xf>
    <xf numFmtId="0" fontId="4" fillId="0" borderId="14" xfId="1" applyBorder="1" applyAlignment="1">
      <alignment horizontal="center" vertical="center" wrapText="1"/>
    </xf>
    <xf numFmtId="0" fontId="4" fillId="0" borderId="18" xfId="1" applyBorder="1" applyAlignment="1">
      <alignment horizontal="center" vertical="center" wrapText="1"/>
    </xf>
    <xf numFmtId="0" fontId="4" fillId="0" borderId="20" xfId="1" applyBorder="1" applyAlignment="1">
      <alignment horizontal="center" vertical="center" wrapText="1"/>
    </xf>
    <xf numFmtId="0" fontId="4" fillId="0" borderId="21" xfId="1" applyBorder="1" applyAlignment="1">
      <alignment horizontal="center" vertical="center" wrapText="1"/>
    </xf>
    <xf numFmtId="0" fontId="8" fillId="7" borderId="34" xfId="1" applyFont="1" applyFill="1" applyBorder="1" applyAlignment="1">
      <alignment horizontal="center" vertical="center"/>
    </xf>
    <xf numFmtId="0" fontId="8" fillId="7" borderId="14" xfId="1" applyFont="1" applyFill="1" applyBorder="1" applyAlignment="1">
      <alignment horizontal="center" vertical="center"/>
    </xf>
    <xf numFmtId="0" fontId="8" fillId="7" borderId="13" xfId="1" applyFont="1" applyFill="1" applyBorder="1" applyAlignment="1">
      <alignment horizontal="left" vertical="center"/>
    </xf>
    <xf numFmtId="0" fontId="11" fillId="8" borderId="27" xfId="1" applyFont="1" applyFill="1" applyBorder="1" applyAlignment="1">
      <alignment horizontal="left" vertical="center"/>
    </xf>
    <xf numFmtId="0" fontId="11" fillId="8" borderId="28" xfId="1" applyFont="1" applyFill="1" applyBorder="1" applyAlignment="1">
      <alignment horizontal="left" vertical="center"/>
    </xf>
    <xf numFmtId="0" fontId="11" fillId="8" borderId="33" xfId="1" applyFont="1" applyFill="1" applyBorder="1" applyAlignment="1">
      <alignment horizontal="left" vertical="center"/>
    </xf>
    <xf numFmtId="2" fontId="14" fillId="7" borderId="10" xfId="1" applyNumberFormat="1" applyFont="1" applyFill="1" applyBorder="1" applyAlignment="1">
      <alignment horizontal="center" vertical="center"/>
    </xf>
    <xf numFmtId="2" fontId="14" fillId="7" borderId="13" xfId="1" applyNumberFormat="1" applyFont="1" applyFill="1" applyBorder="1" applyAlignment="1">
      <alignment horizontal="center" vertical="center"/>
    </xf>
    <xf numFmtId="2" fontId="14" fillId="7" borderId="11" xfId="1" applyNumberFormat="1" applyFont="1" applyFill="1" applyBorder="1" applyAlignment="1">
      <alignment horizontal="center" vertical="center"/>
    </xf>
    <xf numFmtId="0" fontId="8" fillId="7" borderId="13" xfId="1" applyFont="1" applyFill="1" applyBorder="1" applyAlignment="1">
      <alignment horizontal="center" vertical="center"/>
    </xf>
    <xf numFmtId="0" fontId="8" fillId="7" borderId="12" xfId="1" applyFont="1" applyFill="1" applyBorder="1" applyAlignment="1">
      <alignment horizontal="center" vertical="center" wrapText="1"/>
    </xf>
    <xf numFmtId="0" fontId="8" fillId="7" borderId="15" xfId="1" applyFont="1" applyFill="1" applyBorder="1" applyAlignment="1">
      <alignment horizontal="center" vertical="center" wrapText="1"/>
    </xf>
    <xf numFmtId="0" fontId="8" fillId="7" borderId="11" xfId="1" applyFont="1" applyFill="1" applyBorder="1" applyAlignment="1">
      <alignment horizontal="left" vertical="center"/>
    </xf>
    <xf numFmtId="0" fontId="8" fillId="7" borderId="19" xfId="1" applyFont="1" applyFill="1" applyBorder="1" applyAlignment="1">
      <alignment horizontal="left" vertical="center"/>
    </xf>
    <xf numFmtId="0" fontId="9" fillId="3" borderId="41" xfId="1" applyFont="1" applyFill="1" applyBorder="1" applyAlignment="1">
      <alignment horizontal="left" vertical="center" wrapText="1"/>
    </xf>
    <xf numFmtId="0" fontId="9" fillId="3" borderId="8" xfId="1" applyFont="1" applyFill="1" applyBorder="1" applyAlignment="1">
      <alignment horizontal="left" vertical="center" wrapText="1"/>
    </xf>
    <xf numFmtId="0" fontId="9" fillId="3" borderId="8" xfId="1" applyFont="1" applyFill="1" applyBorder="1" applyAlignment="1">
      <alignment horizontal="center" vertical="center"/>
    </xf>
    <xf numFmtId="0" fontId="9" fillId="3" borderId="9" xfId="1" applyFont="1" applyFill="1" applyBorder="1" applyAlignment="1">
      <alignment horizontal="center" vertical="center"/>
    </xf>
    <xf numFmtId="0" fontId="6" fillId="5" borderId="14" xfId="1" applyFont="1" applyFill="1" applyBorder="1" applyAlignment="1">
      <alignment horizontal="left" vertical="center"/>
    </xf>
    <xf numFmtId="0" fontId="9" fillId="3" borderId="35" xfId="1" applyFont="1" applyFill="1" applyBorder="1" applyAlignment="1">
      <alignment horizontal="left" vertical="center" wrapText="1"/>
    </xf>
    <xf numFmtId="0" fontId="9" fillId="3" borderId="36" xfId="1" applyFont="1" applyFill="1" applyBorder="1" applyAlignment="1">
      <alignment horizontal="left" vertical="center" wrapText="1"/>
    </xf>
    <xf numFmtId="0" fontId="6" fillId="5" borderId="27" xfId="1" applyFont="1" applyFill="1" applyBorder="1" applyAlignment="1">
      <alignment horizontal="left" vertical="center"/>
    </xf>
    <xf numFmtId="0" fontId="6" fillId="5" borderId="28" xfId="1" applyFont="1" applyFill="1" applyBorder="1" applyAlignment="1">
      <alignment horizontal="left" vertical="center"/>
    </xf>
    <xf numFmtId="0" fontId="6" fillId="5" borderId="11" xfId="1" applyFont="1" applyFill="1" applyBorder="1" applyAlignment="1">
      <alignment horizontal="left" vertical="center"/>
    </xf>
    <xf numFmtId="0" fontId="4" fillId="6" borderId="28" xfId="1" applyFill="1" applyBorder="1" applyAlignment="1">
      <alignment horizontal="center" vertical="center"/>
    </xf>
    <xf numFmtId="0" fontId="4" fillId="6" borderId="30" xfId="1" applyFill="1" applyBorder="1" applyAlignment="1">
      <alignment horizontal="center" vertical="center"/>
    </xf>
    <xf numFmtId="0" fontId="4" fillId="6" borderId="0" xfId="1" applyFill="1" applyAlignment="1">
      <alignment horizontal="center" vertical="center"/>
    </xf>
    <xf numFmtId="0" fontId="4" fillId="6" borderId="32" xfId="1" applyFill="1" applyBorder="1" applyAlignment="1">
      <alignment horizontal="center" vertical="center"/>
    </xf>
    <xf numFmtId="0" fontId="8" fillId="7" borderId="13" xfId="1" applyFont="1" applyFill="1" applyBorder="1" applyAlignment="1">
      <alignment horizontal="left" vertical="center" wrapText="1"/>
    </xf>
    <xf numFmtId="0" fontId="8" fillId="7" borderId="11" xfId="1" applyFont="1" applyFill="1" applyBorder="1" applyAlignment="1">
      <alignment horizontal="left" vertical="center" wrapText="1"/>
    </xf>
    <xf numFmtId="0" fontId="6" fillId="5" borderId="33" xfId="1" applyFont="1" applyFill="1" applyBorder="1" applyAlignment="1">
      <alignment horizontal="left" vertical="center"/>
    </xf>
    <xf numFmtId="0" fontId="6" fillId="4" borderId="10" xfId="1" applyFont="1" applyFill="1" applyBorder="1" applyAlignment="1" applyProtection="1">
      <alignment horizontal="center" vertical="center" wrapText="1"/>
      <protection hidden="1"/>
    </xf>
    <xf numFmtId="0" fontId="6" fillId="4" borderId="11" xfId="1" applyFont="1" applyFill="1" applyBorder="1" applyAlignment="1" applyProtection="1">
      <alignment horizontal="center" vertical="center" wrapText="1"/>
      <protection hidden="1"/>
    </xf>
    <xf numFmtId="14" fontId="2" fillId="0" borderId="12" xfId="0" applyNumberFormat="1" applyFont="1" applyBorder="1" applyAlignment="1" applyProtection="1">
      <alignment horizontal="center" vertical="center" wrapText="1"/>
      <protection locked="0"/>
    </xf>
    <xf numFmtId="14" fontId="2" fillId="0" borderId="13" xfId="0" applyNumberFormat="1" applyFont="1" applyBorder="1" applyAlignment="1" applyProtection="1">
      <alignment horizontal="center" vertical="center" wrapText="1"/>
      <protection locked="0"/>
    </xf>
    <xf numFmtId="0" fontId="8" fillId="2" borderId="12" xfId="1" applyFont="1" applyFill="1" applyBorder="1" applyAlignment="1" applyProtection="1">
      <alignment horizontal="center" vertical="center" wrapText="1"/>
      <protection locked="0"/>
    </xf>
    <xf numFmtId="0" fontId="8" fillId="2" borderId="13" xfId="1" applyFont="1" applyFill="1" applyBorder="1" applyAlignment="1" applyProtection="1">
      <alignment horizontal="center" vertical="center" wrapText="1"/>
      <protection locked="0"/>
    </xf>
    <xf numFmtId="0" fontId="8" fillId="2" borderId="15" xfId="1" applyFont="1" applyFill="1" applyBorder="1" applyAlignment="1" applyProtection="1">
      <alignment horizontal="center" vertical="center" wrapText="1"/>
      <protection locked="0"/>
    </xf>
    <xf numFmtId="14" fontId="2" fillId="0" borderId="18" xfId="0" applyNumberFormat="1" applyFont="1" applyBorder="1" applyAlignment="1" applyProtection="1">
      <alignment horizontal="center" vertical="center" wrapText="1"/>
      <protection locked="0"/>
    </xf>
    <xf numFmtId="14" fontId="2" fillId="0" borderId="19" xfId="0" applyNumberFormat="1" applyFont="1" applyBorder="1" applyAlignment="1" applyProtection="1">
      <alignment horizontal="center" vertical="center" wrapText="1"/>
      <protection locked="0"/>
    </xf>
    <xf numFmtId="14" fontId="2" fillId="0" borderId="20" xfId="0" applyNumberFormat="1" applyFont="1" applyBorder="1" applyAlignment="1" applyProtection="1">
      <alignment horizontal="center" vertical="center" wrapText="1"/>
      <protection locked="0"/>
    </xf>
    <xf numFmtId="0" fontId="8" fillId="2" borderId="18" xfId="1" applyFont="1" applyFill="1" applyBorder="1" applyAlignment="1" applyProtection="1">
      <alignment horizontal="center" vertical="center" wrapText="1"/>
      <protection locked="0"/>
    </xf>
    <xf numFmtId="0" fontId="8" fillId="2" borderId="19" xfId="1" applyFont="1" applyFill="1" applyBorder="1" applyAlignment="1" applyProtection="1">
      <alignment horizontal="center" vertical="center" wrapText="1"/>
      <protection locked="0"/>
    </xf>
    <xf numFmtId="0" fontId="8" fillId="2" borderId="22" xfId="1" applyFont="1" applyFill="1" applyBorder="1" applyAlignment="1" applyProtection="1">
      <alignment horizontal="center" vertical="center" wrapText="1"/>
      <protection locked="0"/>
    </xf>
    <xf numFmtId="0" fontId="9" fillId="3" borderId="23" xfId="1" applyFont="1" applyFill="1" applyBorder="1" applyAlignment="1">
      <alignment horizontal="left" vertical="center"/>
    </xf>
    <xf numFmtId="0" fontId="9" fillId="3" borderId="24" xfId="1" applyFont="1" applyFill="1" applyBorder="1" applyAlignment="1">
      <alignment horizontal="left" vertical="center"/>
    </xf>
    <xf numFmtId="0" fontId="9" fillId="3" borderId="25" xfId="1" applyFont="1" applyFill="1" applyBorder="1" applyAlignment="1">
      <alignment horizontal="left" vertical="center"/>
    </xf>
    <xf numFmtId="0" fontId="9" fillId="3" borderId="26" xfId="1" applyFont="1" applyFill="1" applyBorder="1" applyAlignment="1">
      <alignment horizontal="left" vertical="center"/>
    </xf>
    <xf numFmtId="0" fontId="5" fillId="2" borderId="2" xfId="1" applyFont="1" applyFill="1" applyBorder="1" applyAlignment="1">
      <alignment horizontal="center" vertical="center"/>
    </xf>
    <xf numFmtId="0" fontId="5" fillId="2" borderId="3" xfId="1" applyFont="1" applyFill="1" applyBorder="1" applyAlignment="1">
      <alignment horizontal="center" vertical="center"/>
    </xf>
    <xf numFmtId="0" fontId="6" fillId="3" borderId="1" xfId="1" applyFont="1" applyFill="1" applyBorder="1" applyAlignment="1">
      <alignment horizontal="left" vertical="center" wrapText="1"/>
    </xf>
    <xf numFmtId="0" fontId="6" fillId="3" borderId="3" xfId="1" applyFont="1" applyFill="1" applyBorder="1" applyAlignment="1">
      <alignment horizontal="left" vertical="center" wrapText="1"/>
    </xf>
    <xf numFmtId="0" fontId="7" fillId="4" borderId="4" xfId="1" applyFont="1" applyFill="1" applyBorder="1" applyAlignment="1" applyProtection="1">
      <alignment horizontal="center" vertical="center"/>
      <protection hidden="1"/>
    </xf>
    <xf numFmtId="0" fontId="7" fillId="4" borderId="5" xfId="1" applyFont="1" applyFill="1" applyBorder="1" applyAlignment="1" applyProtection="1">
      <alignment horizontal="center" vertical="center"/>
      <protection hidden="1"/>
    </xf>
    <xf numFmtId="14" fontId="2" fillId="0" borderId="6" xfId="0" applyNumberFormat="1" applyFont="1" applyBorder="1" applyAlignment="1" applyProtection="1">
      <alignment horizontal="center" vertical="center" wrapText="1"/>
      <protection locked="0"/>
    </xf>
    <xf numFmtId="14" fontId="2" fillId="0" borderId="7" xfId="0" applyNumberFormat="1" applyFont="1" applyBorder="1" applyAlignment="1" applyProtection="1">
      <alignment horizontal="center" vertical="center" wrapText="1"/>
      <protection locked="0"/>
    </xf>
    <xf numFmtId="0" fontId="7" fillId="4" borderId="10" xfId="1" applyFont="1" applyFill="1" applyBorder="1" applyAlignment="1" applyProtection="1">
      <alignment horizontal="center" vertical="center" wrapText="1"/>
      <protection hidden="1"/>
    </xf>
    <xf numFmtId="0" fontId="7" fillId="4" borderId="11" xfId="1" applyFont="1" applyFill="1" applyBorder="1" applyAlignment="1" applyProtection="1">
      <alignment horizontal="center" vertical="center" wrapText="1"/>
      <protection hidden="1"/>
    </xf>
    <xf numFmtId="0" fontId="9" fillId="3" borderId="1" xfId="1" applyFont="1" applyFill="1" applyBorder="1" applyAlignment="1">
      <alignment horizontal="left" vertical="center" wrapText="1"/>
    </xf>
    <xf numFmtId="0" fontId="9" fillId="3" borderId="2" xfId="1" applyFont="1" applyFill="1" applyBorder="1" applyAlignment="1">
      <alignment horizontal="left" vertical="center" wrapText="1"/>
    </xf>
    <xf numFmtId="0" fontId="9" fillId="3" borderId="3" xfId="1" applyFont="1" applyFill="1" applyBorder="1" applyAlignment="1">
      <alignment horizontal="left" vertical="center" wrapText="1"/>
    </xf>
    <xf numFmtId="0" fontId="8" fillId="9" borderId="41" xfId="1" applyFont="1" applyFill="1" applyBorder="1" applyAlignment="1">
      <alignment horizontal="center" vertical="center" wrapText="1"/>
    </xf>
    <xf numFmtId="0" fontId="8" fillId="9" borderId="5" xfId="1" applyFont="1" applyFill="1" applyBorder="1" applyAlignment="1">
      <alignment horizontal="center" vertical="center" wrapText="1"/>
    </xf>
    <xf numFmtId="0" fontId="8" fillId="9" borderId="8" xfId="1" applyFont="1" applyFill="1" applyBorder="1" applyAlignment="1">
      <alignment horizontal="center" vertical="center" wrapText="1"/>
    </xf>
    <xf numFmtId="0" fontId="8" fillId="9" borderId="6" xfId="1" applyFont="1" applyFill="1" applyBorder="1" applyAlignment="1">
      <alignment horizontal="center" vertical="center" wrapText="1"/>
    </xf>
    <xf numFmtId="16" fontId="22" fillId="2" borderId="6" xfId="1" applyNumberFormat="1" applyFont="1" applyFill="1" applyBorder="1" applyAlignment="1">
      <alignment horizontal="center" vertical="center" wrapText="1"/>
    </xf>
    <xf numFmtId="16" fontId="22" fillId="2" borderId="44" xfId="1" applyNumberFormat="1" applyFont="1" applyFill="1" applyBorder="1" applyAlignment="1">
      <alignment horizontal="center" vertical="center" wrapText="1"/>
    </xf>
    <xf numFmtId="0" fontId="4" fillId="9" borderId="18" xfId="1" applyFill="1" applyBorder="1" applyAlignment="1">
      <alignment horizontal="center" vertical="center" wrapText="1"/>
    </xf>
    <xf numFmtId="0" fontId="4" fillId="9" borderId="20" xfId="1" applyFill="1" applyBorder="1" applyAlignment="1">
      <alignment horizontal="center" vertical="center" wrapText="1"/>
    </xf>
    <xf numFmtId="0" fontId="4" fillId="9" borderId="19" xfId="1" applyFill="1" applyBorder="1" applyAlignment="1">
      <alignment horizontal="center" vertical="center" wrapText="1"/>
    </xf>
    <xf numFmtId="16" fontId="16" fillId="2" borderId="18" xfId="1" applyNumberFormat="1" applyFont="1" applyFill="1" applyBorder="1" applyAlignment="1">
      <alignment horizontal="center" vertical="center" wrapText="1"/>
    </xf>
    <xf numFmtId="16" fontId="16" fillId="2" borderId="22" xfId="1" applyNumberFormat="1" applyFont="1" applyFill="1" applyBorder="1" applyAlignment="1">
      <alignment horizontal="center" vertical="center" wrapText="1"/>
    </xf>
    <xf numFmtId="0" fontId="8" fillId="7" borderId="57" xfId="1" applyFont="1" applyFill="1" applyBorder="1" applyAlignment="1">
      <alignment horizontal="left" vertical="center"/>
    </xf>
    <xf numFmtId="0" fontId="8" fillId="7" borderId="25" xfId="1" applyFont="1" applyFill="1" applyBorder="1" applyAlignment="1">
      <alignment horizontal="left" vertical="center"/>
    </xf>
    <xf numFmtId="0" fontId="11" fillId="8" borderId="10" xfId="1" applyFont="1" applyFill="1" applyBorder="1" applyAlignment="1">
      <alignment horizontal="center" vertical="center" wrapText="1"/>
    </xf>
    <xf numFmtId="0" fontId="11" fillId="8" borderId="13" xfId="1" applyFont="1" applyFill="1" applyBorder="1" applyAlignment="1">
      <alignment horizontal="center" vertical="center" wrapText="1"/>
    </xf>
    <xf numFmtId="0" fontId="11" fillId="8" borderId="11" xfId="1" applyFont="1" applyFill="1" applyBorder="1" applyAlignment="1">
      <alignment horizontal="center" vertical="center" wrapText="1"/>
    </xf>
    <xf numFmtId="0" fontId="6" fillId="5" borderId="57" xfId="1" applyFont="1" applyFill="1" applyBorder="1" applyAlignment="1">
      <alignment horizontal="left" vertical="center"/>
    </xf>
    <xf numFmtId="0" fontId="6" fillId="5" borderId="25" xfId="1" applyFont="1" applyFill="1" applyBorder="1" applyAlignment="1">
      <alignment horizontal="left" vertical="center"/>
    </xf>
    <xf numFmtId="0" fontId="21" fillId="0" borderId="14" xfId="0" applyFont="1" applyBorder="1" applyAlignment="1" applyProtection="1">
      <alignment horizontal="center" vertical="center"/>
      <protection locked="0"/>
    </xf>
    <xf numFmtId="0" fontId="21" fillId="0" borderId="14" xfId="0" applyFont="1" applyBorder="1" applyAlignment="1" applyProtection="1">
      <alignment horizontal="left" vertical="center"/>
      <protection locked="0"/>
    </xf>
    <xf numFmtId="0" fontId="21" fillId="0" borderId="12" xfId="0" applyFont="1" applyBorder="1" applyAlignment="1" applyProtection="1">
      <alignment horizontal="center" vertical="center"/>
      <protection locked="0"/>
    </xf>
    <xf numFmtId="0" fontId="21" fillId="0" borderId="13" xfId="0" applyFont="1" applyBorder="1" applyAlignment="1" applyProtection="1">
      <alignment horizontal="center" vertical="center"/>
      <protection locked="0"/>
    </xf>
    <xf numFmtId="0" fontId="21" fillId="0" borderId="11" xfId="0" applyFont="1" applyBorder="1" applyAlignment="1" applyProtection="1">
      <alignment horizontal="center" vertical="center"/>
      <protection locked="0"/>
    </xf>
    <xf numFmtId="0" fontId="21" fillId="0" borderId="12" xfId="0" applyFont="1" applyBorder="1" applyAlignment="1" applyProtection="1">
      <alignment horizontal="left" vertical="center"/>
      <protection locked="0"/>
    </xf>
    <xf numFmtId="0" fontId="21" fillId="0" borderId="11" xfId="0" applyFont="1" applyBorder="1" applyAlignment="1" applyProtection="1">
      <alignment horizontal="left" vertical="center"/>
      <protection locked="0"/>
    </xf>
    <xf numFmtId="0" fontId="6" fillId="13" borderId="16" xfId="1" applyFont="1" applyFill="1" applyBorder="1" applyAlignment="1">
      <alignment horizontal="left" vertical="center" wrapText="1"/>
    </xf>
    <xf numFmtId="0" fontId="6" fillId="13" borderId="39" xfId="1" applyFont="1" applyFill="1" applyBorder="1" applyAlignment="1">
      <alignment horizontal="left" vertical="center" wrapText="1"/>
    </xf>
    <xf numFmtId="0" fontId="10" fillId="0" borderId="21" xfId="1" applyFont="1" applyBorder="1" applyAlignment="1" applyProtection="1">
      <alignment horizontal="center" vertical="center" wrapText="1"/>
      <protection locked="0"/>
    </xf>
    <xf numFmtId="0" fontId="10" fillId="0" borderId="21" xfId="1" applyFont="1" applyBorder="1" applyAlignment="1" applyProtection="1">
      <alignment horizontal="center" vertical="center"/>
      <protection locked="0"/>
    </xf>
    <xf numFmtId="0" fontId="10" fillId="0" borderId="46" xfId="1" applyFont="1" applyBorder="1" applyAlignment="1" applyProtection="1">
      <alignment horizontal="center" vertical="center"/>
      <protection locked="0"/>
    </xf>
    <xf numFmtId="0" fontId="9" fillId="3" borderId="58" xfId="1" applyFont="1" applyFill="1" applyBorder="1" applyAlignment="1">
      <alignment horizontal="left" vertical="center"/>
    </xf>
    <xf numFmtId="0" fontId="9" fillId="3" borderId="59" xfId="1" applyFont="1" applyFill="1" applyBorder="1" applyAlignment="1">
      <alignment horizontal="left" vertical="center"/>
    </xf>
    <xf numFmtId="0" fontId="9" fillId="3" borderId="60" xfId="1" applyFont="1" applyFill="1" applyBorder="1" applyAlignment="1">
      <alignment horizontal="left" vertical="center"/>
    </xf>
    <xf numFmtId="0" fontId="9" fillId="3" borderId="61" xfId="1" applyFont="1" applyFill="1" applyBorder="1" applyAlignment="1">
      <alignment horizontal="left" vertical="center"/>
    </xf>
    <xf numFmtId="0" fontId="6" fillId="13" borderId="10" xfId="1" applyFont="1" applyFill="1" applyBorder="1" applyAlignment="1">
      <alignment horizontal="left" vertical="center" wrapText="1"/>
    </xf>
    <xf numFmtId="0" fontId="6" fillId="13" borderId="13" xfId="1" applyFont="1" applyFill="1" applyBorder="1" applyAlignment="1">
      <alignment horizontal="left" vertical="center" wrapText="1"/>
    </xf>
    <xf numFmtId="0" fontId="20" fillId="0" borderId="14" xfId="1" applyFont="1" applyBorder="1" applyAlignment="1">
      <alignment horizontal="center" vertical="center" wrapText="1"/>
    </xf>
    <xf numFmtId="0" fontId="6" fillId="13" borderId="57" xfId="1" applyFont="1" applyFill="1" applyBorder="1" applyAlignment="1">
      <alignment horizontal="left" vertical="center" wrapText="1"/>
    </xf>
    <xf numFmtId="0" fontId="6" fillId="13" borderId="36" xfId="1" applyFont="1" applyFill="1" applyBorder="1" applyAlignment="1">
      <alignment horizontal="left" vertical="center" wrapText="1"/>
    </xf>
    <xf numFmtId="0" fontId="10" fillId="0" borderId="29" xfId="1" applyFont="1" applyBorder="1" applyAlignment="1">
      <alignment horizontal="center" vertical="center"/>
    </xf>
    <xf numFmtId="0" fontId="10" fillId="0" borderId="28" xfId="1" applyFont="1" applyBorder="1" applyAlignment="1">
      <alignment horizontal="center" vertical="center"/>
    </xf>
    <xf numFmtId="0" fontId="10" fillId="0" borderId="30" xfId="1" applyFont="1" applyBorder="1" applyAlignment="1">
      <alignment horizontal="center" vertical="center"/>
    </xf>
    <xf numFmtId="0" fontId="20" fillId="0" borderId="12" xfId="1" applyFont="1" applyBorder="1" applyAlignment="1">
      <alignment horizontal="center" vertical="center" wrapText="1"/>
    </xf>
    <xf numFmtId="0" fontId="20" fillId="0" borderId="11" xfId="1" applyFont="1" applyBorder="1" applyAlignment="1">
      <alignment horizontal="center" vertical="center" wrapText="1"/>
    </xf>
    <xf numFmtId="0" fontId="5" fillId="2" borderId="55" xfId="1" applyFont="1" applyFill="1" applyBorder="1" applyAlignment="1">
      <alignment horizontal="center" vertical="center"/>
    </xf>
    <xf numFmtId="0" fontId="5" fillId="2" borderId="56" xfId="1" applyFont="1" applyFill="1" applyBorder="1" applyAlignment="1">
      <alignment horizontal="center" vertical="center"/>
    </xf>
    <xf numFmtId="0" fontId="6" fillId="3" borderId="54" xfId="1" applyFont="1" applyFill="1" applyBorder="1" applyAlignment="1">
      <alignment horizontal="left" vertical="center" wrapText="1"/>
    </xf>
    <xf numFmtId="0" fontId="6" fillId="3" borderId="56" xfId="1" applyFont="1" applyFill="1" applyBorder="1" applyAlignment="1">
      <alignment horizontal="left" vertical="center" wrapText="1"/>
    </xf>
    <xf numFmtId="0" fontId="6" fillId="13" borderId="4" xfId="1" applyFont="1" applyFill="1" applyBorder="1" applyAlignment="1">
      <alignment horizontal="left" vertical="center" wrapText="1"/>
    </xf>
    <xf numFmtId="0" fontId="6" fillId="13" borderId="7" xfId="1" applyFont="1" applyFill="1" applyBorder="1" applyAlignment="1">
      <alignment horizontal="left" vertical="center" wrapText="1"/>
    </xf>
    <xf numFmtId="0" fontId="19" fillId="0" borderId="6" xfId="1" applyFont="1" applyBorder="1" applyAlignment="1">
      <alignment horizontal="center" vertical="center" wrapText="1"/>
    </xf>
    <xf numFmtId="0" fontId="19" fillId="0" borderId="5" xfId="1" applyFont="1" applyBorder="1" applyAlignment="1">
      <alignment horizontal="center" vertical="center" wrapText="1"/>
    </xf>
    <xf numFmtId="14" fontId="10" fillId="0" borderId="6" xfId="1" applyNumberFormat="1" applyFont="1" applyBorder="1" applyAlignment="1">
      <alignment horizontal="center" vertical="center"/>
    </xf>
    <xf numFmtId="14" fontId="10" fillId="0" borderId="5" xfId="1" applyNumberFormat="1" applyFont="1" applyBorder="1" applyAlignment="1">
      <alignment horizontal="center" vertical="center"/>
    </xf>
    <xf numFmtId="0" fontId="19" fillId="0" borderId="12" xfId="1" applyFont="1" applyBorder="1" applyAlignment="1">
      <alignment horizontal="center" vertical="center" wrapText="1"/>
    </xf>
    <xf numFmtId="0" fontId="19" fillId="0" borderId="11" xfId="1" applyFont="1" applyBorder="1" applyAlignment="1">
      <alignment horizontal="center" vertical="center" wrapText="1"/>
    </xf>
    <xf numFmtId="165" fontId="10" fillId="0" borderId="12" xfId="1" applyNumberFormat="1" applyFont="1" applyBorder="1" applyAlignment="1" applyProtection="1">
      <alignment horizontal="center" vertical="center"/>
      <protection locked="0"/>
    </xf>
    <xf numFmtId="165" fontId="10" fillId="0" borderId="11" xfId="1" applyNumberFormat="1" applyFont="1" applyBorder="1" applyAlignment="1" applyProtection="1">
      <alignment horizontal="center" vertical="center"/>
      <protection locked="0"/>
    </xf>
  </cellXfs>
  <cellStyles count="2">
    <cellStyle name="Normal" xfId="0" builtinId="0"/>
    <cellStyle name="Normal 2 2" xfId="1" xr:uid="{034D3A1B-4A55-44F1-BC7D-79002A3B466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166666</xdr:colOff>
      <xdr:row>0</xdr:row>
      <xdr:rowOff>81915</xdr:rowOff>
    </xdr:from>
    <xdr:to>
      <xdr:col>2</xdr:col>
      <xdr:colOff>878205</xdr:colOff>
      <xdr:row>0</xdr:row>
      <xdr:rowOff>657225</xdr:rowOff>
    </xdr:to>
    <xdr:pic>
      <xdr:nvPicPr>
        <xdr:cNvPr id="2" name="Imagen 1">
          <a:extLst>
            <a:ext uri="{FF2B5EF4-FFF2-40B4-BE49-F238E27FC236}">
              <a16:creationId xmlns:a16="http://schemas.microsoft.com/office/drawing/2014/main" id="{D237F53C-40AD-4873-8FCE-64B0B3B02BC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6666" y="81915"/>
          <a:ext cx="2130764" cy="575310"/>
        </a:xfrm>
        <a:prstGeom prst="rect">
          <a:avLst/>
        </a:prstGeom>
        <a:noFill/>
      </xdr:spPr>
    </xdr:pic>
    <xdr:clientData/>
  </xdr:twoCellAnchor>
  <xdr:twoCellAnchor>
    <xdr:from>
      <xdr:col>10</xdr:col>
      <xdr:colOff>123825</xdr:colOff>
      <xdr:row>0</xdr:row>
      <xdr:rowOff>66675</xdr:rowOff>
    </xdr:from>
    <xdr:to>
      <xdr:col>12</xdr:col>
      <xdr:colOff>47625</xdr:colOff>
      <xdr:row>0</xdr:row>
      <xdr:rowOff>723900</xdr:rowOff>
    </xdr:to>
    <xdr:sp macro="" textlink="">
      <xdr:nvSpPr>
        <xdr:cNvPr id="3" name="Rectángulo: esquinas redondeadas 2">
          <a:extLst>
            <a:ext uri="{FF2B5EF4-FFF2-40B4-BE49-F238E27FC236}">
              <a16:creationId xmlns:a16="http://schemas.microsoft.com/office/drawing/2014/main" id="{611229ED-73EE-4C8F-9C84-FE6D290CB468}"/>
            </a:ext>
          </a:extLst>
        </xdr:cNvPr>
        <xdr:cNvSpPr/>
      </xdr:nvSpPr>
      <xdr:spPr>
        <a:xfrm>
          <a:off x="9677400" y="66675"/>
          <a:ext cx="714375" cy="657225"/>
        </a:xfrm>
        <a:prstGeom prst="roundRect">
          <a:avLst/>
        </a:prstGeom>
        <a:blipFill dpi="0" rotWithShape="1">
          <a:blip xmlns:r="http://schemas.openxmlformats.org/officeDocument/2006/relationships" r:embed="rId2" cstate="print">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166666</xdr:colOff>
      <xdr:row>0</xdr:row>
      <xdr:rowOff>81915</xdr:rowOff>
    </xdr:from>
    <xdr:to>
      <xdr:col>3</xdr:col>
      <xdr:colOff>535305</xdr:colOff>
      <xdr:row>0</xdr:row>
      <xdr:rowOff>657225</xdr:rowOff>
    </xdr:to>
    <xdr:pic>
      <xdr:nvPicPr>
        <xdr:cNvPr id="2" name="Imagen 1">
          <a:extLst>
            <a:ext uri="{FF2B5EF4-FFF2-40B4-BE49-F238E27FC236}">
              <a16:creationId xmlns:a16="http://schemas.microsoft.com/office/drawing/2014/main" id="{4175F8D0-F1DF-49E6-B011-E42D43EE15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6666" y="81915"/>
          <a:ext cx="2130764" cy="575310"/>
        </a:xfrm>
        <a:prstGeom prst="rect">
          <a:avLst/>
        </a:prstGeom>
        <a:noFill/>
      </xdr:spPr>
    </xdr:pic>
    <xdr:clientData/>
  </xdr:twoCellAnchor>
  <xdr:twoCellAnchor>
    <xdr:from>
      <xdr:col>10</xdr:col>
      <xdr:colOff>95250</xdr:colOff>
      <xdr:row>0</xdr:row>
      <xdr:rowOff>104775</xdr:rowOff>
    </xdr:from>
    <xdr:to>
      <xdr:col>11</xdr:col>
      <xdr:colOff>514350</xdr:colOff>
      <xdr:row>0</xdr:row>
      <xdr:rowOff>609600</xdr:rowOff>
    </xdr:to>
    <xdr:sp macro="[1]!InsertarFila" textlink="">
      <xdr:nvSpPr>
        <xdr:cNvPr id="3" name="Rectángulo: esquinas redondeadas 2">
          <a:extLst>
            <a:ext uri="{FF2B5EF4-FFF2-40B4-BE49-F238E27FC236}">
              <a16:creationId xmlns:a16="http://schemas.microsoft.com/office/drawing/2014/main" id="{C8937A63-D8E5-4CD9-96EE-FA8680CD0B56}"/>
            </a:ext>
          </a:extLst>
        </xdr:cNvPr>
        <xdr:cNvSpPr/>
      </xdr:nvSpPr>
      <xdr:spPr>
        <a:xfrm>
          <a:off x="9658350" y="104775"/>
          <a:ext cx="581025" cy="50482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a:t>+</a:t>
          </a:r>
        </a:p>
      </xdr:txBody>
    </xdr:sp>
    <xdr:clientData/>
  </xdr:twoCellAnchor>
  <xdr:twoCellAnchor>
    <xdr:from>
      <xdr:col>11</xdr:col>
      <xdr:colOff>609600</xdr:colOff>
      <xdr:row>0</xdr:row>
      <xdr:rowOff>104774</xdr:rowOff>
    </xdr:from>
    <xdr:to>
      <xdr:col>12</xdr:col>
      <xdr:colOff>561975</xdr:colOff>
      <xdr:row>0</xdr:row>
      <xdr:rowOff>609599</xdr:rowOff>
    </xdr:to>
    <xdr:sp macro="[1]!EliminarFila" textlink="">
      <xdr:nvSpPr>
        <xdr:cNvPr id="4" name="Rectángulo: esquinas redondeadas 3">
          <a:extLst>
            <a:ext uri="{FF2B5EF4-FFF2-40B4-BE49-F238E27FC236}">
              <a16:creationId xmlns:a16="http://schemas.microsoft.com/office/drawing/2014/main" id="{A130AB1D-9B0E-4663-89B5-5D73E8F4C42D}"/>
            </a:ext>
          </a:extLst>
        </xdr:cNvPr>
        <xdr:cNvSpPr/>
      </xdr:nvSpPr>
      <xdr:spPr>
        <a:xfrm>
          <a:off x="10334625" y="104774"/>
          <a:ext cx="581025" cy="504825"/>
        </a:xfrm>
        <a:prstGeom prst="round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800" b="1"/>
            <a:t>-</a:t>
          </a:r>
        </a:p>
      </xdr:txBody>
    </xdr:sp>
    <xdr:clientData/>
  </xdr:twoCellAnchor>
  <xdr:twoCellAnchor>
    <xdr:from>
      <xdr:col>13</xdr:col>
      <xdr:colOff>38100</xdr:colOff>
      <xdr:row>0</xdr:row>
      <xdr:rowOff>114300</xdr:rowOff>
    </xdr:from>
    <xdr:to>
      <xdr:col>14</xdr:col>
      <xdr:colOff>28575</xdr:colOff>
      <xdr:row>0</xdr:row>
      <xdr:rowOff>638175</xdr:rowOff>
    </xdr:to>
    <xdr:sp macro="[1]!InsertarImagenYTitulo" textlink="">
      <xdr:nvSpPr>
        <xdr:cNvPr id="5" name="Rectángulo: esquinas redondeadas 4">
          <a:extLst>
            <a:ext uri="{FF2B5EF4-FFF2-40B4-BE49-F238E27FC236}">
              <a16:creationId xmlns:a16="http://schemas.microsoft.com/office/drawing/2014/main" id="{814C939C-1991-4504-A852-6B5AA2C77B54}"/>
            </a:ext>
          </a:extLst>
        </xdr:cNvPr>
        <xdr:cNvSpPr/>
      </xdr:nvSpPr>
      <xdr:spPr>
        <a:xfrm>
          <a:off x="11020425" y="114300"/>
          <a:ext cx="619125" cy="523875"/>
        </a:xfrm>
        <a:prstGeom prst="roundRect">
          <a:avLst/>
        </a:prstGeom>
        <a:blipFill dpi="0" rotWithShape="1">
          <a:blip xmlns:r="http://schemas.openxmlformats.org/officeDocument/2006/relationships" r:embed="rId2" cstate="print">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166666</xdr:colOff>
      <xdr:row>0</xdr:row>
      <xdr:rowOff>81915</xdr:rowOff>
    </xdr:from>
    <xdr:to>
      <xdr:col>3</xdr:col>
      <xdr:colOff>535305</xdr:colOff>
      <xdr:row>0</xdr:row>
      <xdr:rowOff>657225</xdr:rowOff>
    </xdr:to>
    <xdr:pic>
      <xdr:nvPicPr>
        <xdr:cNvPr id="2" name="Imagen 1">
          <a:extLst>
            <a:ext uri="{FF2B5EF4-FFF2-40B4-BE49-F238E27FC236}">
              <a16:creationId xmlns:a16="http://schemas.microsoft.com/office/drawing/2014/main" id="{6692A6F2-B6D9-4EC2-8373-F7EF2FE93B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6666" y="81915"/>
          <a:ext cx="2130764" cy="575310"/>
        </a:xfrm>
        <a:prstGeom prst="rect">
          <a:avLst/>
        </a:prstGeom>
        <a:noFill/>
      </xdr:spPr>
    </xdr:pic>
    <xdr:clientData/>
  </xdr:twoCellAnchor>
  <xdr:twoCellAnchor>
    <xdr:from>
      <xdr:col>10</xdr:col>
      <xdr:colOff>95250</xdr:colOff>
      <xdr:row>0</xdr:row>
      <xdr:rowOff>104775</xdr:rowOff>
    </xdr:from>
    <xdr:to>
      <xdr:col>11</xdr:col>
      <xdr:colOff>514350</xdr:colOff>
      <xdr:row>0</xdr:row>
      <xdr:rowOff>609600</xdr:rowOff>
    </xdr:to>
    <xdr:sp macro="[1]!InsertarFila" textlink="">
      <xdr:nvSpPr>
        <xdr:cNvPr id="3" name="Rectángulo: esquinas redondeadas 2">
          <a:extLst>
            <a:ext uri="{FF2B5EF4-FFF2-40B4-BE49-F238E27FC236}">
              <a16:creationId xmlns:a16="http://schemas.microsoft.com/office/drawing/2014/main" id="{9EB279F1-63FD-428A-ABC8-249E1B396B7A}"/>
            </a:ext>
          </a:extLst>
        </xdr:cNvPr>
        <xdr:cNvSpPr/>
      </xdr:nvSpPr>
      <xdr:spPr>
        <a:xfrm>
          <a:off x="9658350" y="104775"/>
          <a:ext cx="581025" cy="50482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a:t>+</a:t>
          </a:r>
        </a:p>
      </xdr:txBody>
    </xdr:sp>
    <xdr:clientData/>
  </xdr:twoCellAnchor>
  <xdr:twoCellAnchor>
    <xdr:from>
      <xdr:col>11</xdr:col>
      <xdr:colOff>609600</xdr:colOff>
      <xdr:row>0</xdr:row>
      <xdr:rowOff>104774</xdr:rowOff>
    </xdr:from>
    <xdr:to>
      <xdr:col>12</xdr:col>
      <xdr:colOff>561975</xdr:colOff>
      <xdr:row>0</xdr:row>
      <xdr:rowOff>609599</xdr:rowOff>
    </xdr:to>
    <xdr:sp macro="[1]!EliminarFila" textlink="">
      <xdr:nvSpPr>
        <xdr:cNvPr id="4" name="Rectángulo: esquinas redondeadas 3">
          <a:extLst>
            <a:ext uri="{FF2B5EF4-FFF2-40B4-BE49-F238E27FC236}">
              <a16:creationId xmlns:a16="http://schemas.microsoft.com/office/drawing/2014/main" id="{0D9F3DAE-6EC8-43C2-9FF0-FCB1CF4B0153}"/>
            </a:ext>
          </a:extLst>
        </xdr:cNvPr>
        <xdr:cNvSpPr/>
      </xdr:nvSpPr>
      <xdr:spPr>
        <a:xfrm>
          <a:off x="10334625" y="104774"/>
          <a:ext cx="581025" cy="504825"/>
        </a:xfrm>
        <a:prstGeom prst="round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800" b="1"/>
            <a:t>-</a:t>
          </a:r>
        </a:p>
      </xdr:txBody>
    </xdr:sp>
    <xdr:clientData/>
  </xdr:twoCellAnchor>
  <xdr:twoCellAnchor>
    <xdr:from>
      <xdr:col>13</xdr:col>
      <xdr:colOff>38100</xdr:colOff>
      <xdr:row>0</xdr:row>
      <xdr:rowOff>114300</xdr:rowOff>
    </xdr:from>
    <xdr:to>
      <xdr:col>14</xdr:col>
      <xdr:colOff>28575</xdr:colOff>
      <xdr:row>0</xdr:row>
      <xdr:rowOff>638175</xdr:rowOff>
    </xdr:to>
    <xdr:sp macro="[1]!InsertarImagenYTitulo" textlink="">
      <xdr:nvSpPr>
        <xdr:cNvPr id="5" name="Rectángulo: esquinas redondeadas 4">
          <a:extLst>
            <a:ext uri="{FF2B5EF4-FFF2-40B4-BE49-F238E27FC236}">
              <a16:creationId xmlns:a16="http://schemas.microsoft.com/office/drawing/2014/main" id="{6073A575-40F0-4D94-BC7E-32BA9B895A90}"/>
            </a:ext>
          </a:extLst>
        </xdr:cNvPr>
        <xdr:cNvSpPr/>
      </xdr:nvSpPr>
      <xdr:spPr>
        <a:xfrm>
          <a:off x="11020425" y="114300"/>
          <a:ext cx="619125" cy="523875"/>
        </a:xfrm>
        <a:prstGeom prst="roundRect">
          <a:avLst/>
        </a:prstGeom>
        <a:blipFill dpi="0" rotWithShape="1">
          <a:blip xmlns:r="http://schemas.openxmlformats.org/officeDocument/2006/relationships" r:embed="rId2" cstate="print">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166666</xdr:colOff>
      <xdr:row>0</xdr:row>
      <xdr:rowOff>81915</xdr:rowOff>
    </xdr:from>
    <xdr:to>
      <xdr:col>3</xdr:col>
      <xdr:colOff>535305</xdr:colOff>
      <xdr:row>0</xdr:row>
      <xdr:rowOff>657225</xdr:rowOff>
    </xdr:to>
    <xdr:pic>
      <xdr:nvPicPr>
        <xdr:cNvPr id="2" name="Imagen 1">
          <a:extLst>
            <a:ext uri="{FF2B5EF4-FFF2-40B4-BE49-F238E27FC236}">
              <a16:creationId xmlns:a16="http://schemas.microsoft.com/office/drawing/2014/main" id="{337165BF-9EB9-4142-8DC2-6C9AEF82AEF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6666" y="81915"/>
          <a:ext cx="2130764" cy="575310"/>
        </a:xfrm>
        <a:prstGeom prst="rect">
          <a:avLst/>
        </a:prstGeom>
        <a:noFill/>
      </xdr:spPr>
    </xdr:pic>
    <xdr:clientData/>
  </xdr:twoCellAnchor>
  <xdr:twoCellAnchor>
    <xdr:from>
      <xdr:col>10</xdr:col>
      <xdr:colOff>95250</xdr:colOff>
      <xdr:row>0</xdr:row>
      <xdr:rowOff>104775</xdr:rowOff>
    </xdr:from>
    <xdr:to>
      <xdr:col>11</xdr:col>
      <xdr:colOff>514350</xdr:colOff>
      <xdr:row>0</xdr:row>
      <xdr:rowOff>609600</xdr:rowOff>
    </xdr:to>
    <xdr:sp macro="[1]!InsertarFila" textlink="">
      <xdr:nvSpPr>
        <xdr:cNvPr id="3" name="Rectángulo: esquinas redondeadas 2">
          <a:extLst>
            <a:ext uri="{FF2B5EF4-FFF2-40B4-BE49-F238E27FC236}">
              <a16:creationId xmlns:a16="http://schemas.microsoft.com/office/drawing/2014/main" id="{66D3154E-689D-48CB-AEBE-E20879B502C8}"/>
            </a:ext>
          </a:extLst>
        </xdr:cNvPr>
        <xdr:cNvSpPr/>
      </xdr:nvSpPr>
      <xdr:spPr>
        <a:xfrm>
          <a:off x="9658350" y="104775"/>
          <a:ext cx="581025" cy="50482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a:t>+</a:t>
          </a:r>
        </a:p>
      </xdr:txBody>
    </xdr:sp>
    <xdr:clientData/>
  </xdr:twoCellAnchor>
  <xdr:twoCellAnchor>
    <xdr:from>
      <xdr:col>11</xdr:col>
      <xdr:colOff>609600</xdr:colOff>
      <xdr:row>0</xdr:row>
      <xdr:rowOff>104774</xdr:rowOff>
    </xdr:from>
    <xdr:to>
      <xdr:col>12</xdr:col>
      <xdr:colOff>561975</xdr:colOff>
      <xdr:row>0</xdr:row>
      <xdr:rowOff>609599</xdr:rowOff>
    </xdr:to>
    <xdr:sp macro="[1]!EliminarFila" textlink="">
      <xdr:nvSpPr>
        <xdr:cNvPr id="4" name="Rectángulo: esquinas redondeadas 3">
          <a:extLst>
            <a:ext uri="{FF2B5EF4-FFF2-40B4-BE49-F238E27FC236}">
              <a16:creationId xmlns:a16="http://schemas.microsoft.com/office/drawing/2014/main" id="{7E754CE7-DFB1-406C-B20A-2E3A8E9F0561}"/>
            </a:ext>
          </a:extLst>
        </xdr:cNvPr>
        <xdr:cNvSpPr/>
      </xdr:nvSpPr>
      <xdr:spPr>
        <a:xfrm>
          <a:off x="10334625" y="104774"/>
          <a:ext cx="581025" cy="504825"/>
        </a:xfrm>
        <a:prstGeom prst="round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800" b="1"/>
            <a:t>-</a:t>
          </a:r>
        </a:p>
      </xdr:txBody>
    </xdr:sp>
    <xdr:clientData/>
  </xdr:twoCellAnchor>
  <xdr:twoCellAnchor>
    <xdr:from>
      <xdr:col>13</xdr:col>
      <xdr:colOff>38100</xdr:colOff>
      <xdr:row>0</xdr:row>
      <xdr:rowOff>114300</xdr:rowOff>
    </xdr:from>
    <xdr:to>
      <xdr:col>14</xdr:col>
      <xdr:colOff>28575</xdr:colOff>
      <xdr:row>0</xdr:row>
      <xdr:rowOff>638175</xdr:rowOff>
    </xdr:to>
    <xdr:sp macro="[1]!InsertarImagenYTitulo" textlink="">
      <xdr:nvSpPr>
        <xdr:cNvPr id="5" name="Rectángulo: esquinas redondeadas 4">
          <a:extLst>
            <a:ext uri="{FF2B5EF4-FFF2-40B4-BE49-F238E27FC236}">
              <a16:creationId xmlns:a16="http://schemas.microsoft.com/office/drawing/2014/main" id="{EA0E48A9-FD54-442B-83E0-E7759B0C2686}"/>
            </a:ext>
          </a:extLst>
        </xdr:cNvPr>
        <xdr:cNvSpPr/>
      </xdr:nvSpPr>
      <xdr:spPr>
        <a:xfrm>
          <a:off x="11020425" y="114300"/>
          <a:ext cx="619125" cy="523875"/>
        </a:xfrm>
        <a:prstGeom prst="roundRect">
          <a:avLst/>
        </a:prstGeom>
        <a:blipFill dpi="0" rotWithShape="1">
          <a:blip xmlns:r="http://schemas.openxmlformats.org/officeDocument/2006/relationships" r:embed="rId2" cstate="print">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166666</xdr:colOff>
      <xdr:row>0</xdr:row>
      <xdr:rowOff>81915</xdr:rowOff>
    </xdr:from>
    <xdr:to>
      <xdr:col>3</xdr:col>
      <xdr:colOff>535305</xdr:colOff>
      <xdr:row>0</xdr:row>
      <xdr:rowOff>657225</xdr:rowOff>
    </xdr:to>
    <xdr:pic>
      <xdr:nvPicPr>
        <xdr:cNvPr id="2" name="Imagen 1">
          <a:extLst>
            <a:ext uri="{FF2B5EF4-FFF2-40B4-BE49-F238E27FC236}">
              <a16:creationId xmlns:a16="http://schemas.microsoft.com/office/drawing/2014/main" id="{52AF746D-93DE-4972-BB3D-43F4628F8D1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6666" y="81915"/>
          <a:ext cx="2130764" cy="575310"/>
        </a:xfrm>
        <a:prstGeom prst="rect">
          <a:avLst/>
        </a:prstGeom>
        <a:noFill/>
      </xdr:spPr>
    </xdr:pic>
    <xdr:clientData/>
  </xdr:twoCellAnchor>
  <xdr:twoCellAnchor>
    <xdr:from>
      <xdr:col>10</xdr:col>
      <xdr:colOff>95250</xdr:colOff>
      <xdr:row>0</xdr:row>
      <xdr:rowOff>104775</xdr:rowOff>
    </xdr:from>
    <xdr:to>
      <xdr:col>11</xdr:col>
      <xdr:colOff>514350</xdr:colOff>
      <xdr:row>0</xdr:row>
      <xdr:rowOff>609600</xdr:rowOff>
    </xdr:to>
    <xdr:sp macro="[1]!InsertarFila" textlink="">
      <xdr:nvSpPr>
        <xdr:cNvPr id="3" name="Rectángulo: esquinas redondeadas 2">
          <a:extLst>
            <a:ext uri="{FF2B5EF4-FFF2-40B4-BE49-F238E27FC236}">
              <a16:creationId xmlns:a16="http://schemas.microsoft.com/office/drawing/2014/main" id="{902F792B-30D9-44DD-A213-9734AAFB805A}"/>
            </a:ext>
          </a:extLst>
        </xdr:cNvPr>
        <xdr:cNvSpPr/>
      </xdr:nvSpPr>
      <xdr:spPr>
        <a:xfrm>
          <a:off x="9658350" y="104775"/>
          <a:ext cx="581025" cy="50482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a:t>+</a:t>
          </a:r>
        </a:p>
      </xdr:txBody>
    </xdr:sp>
    <xdr:clientData/>
  </xdr:twoCellAnchor>
  <xdr:twoCellAnchor>
    <xdr:from>
      <xdr:col>11</xdr:col>
      <xdr:colOff>609600</xdr:colOff>
      <xdr:row>0</xdr:row>
      <xdr:rowOff>104774</xdr:rowOff>
    </xdr:from>
    <xdr:to>
      <xdr:col>12</xdr:col>
      <xdr:colOff>561975</xdr:colOff>
      <xdr:row>0</xdr:row>
      <xdr:rowOff>609599</xdr:rowOff>
    </xdr:to>
    <xdr:sp macro="[1]!EliminarFila" textlink="">
      <xdr:nvSpPr>
        <xdr:cNvPr id="4" name="Rectángulo: esquinas redondeadas 3">
          <a:extLst>
            <a:ext uri="{FF2B5EF4-FFF2-40B4-BE49-F238E27FC236}">
              <a16:creationId xmlns:a16="http://schemas.microsoft.com/office/drawing/2014/main" id="{006E4A7B-6247-4B76-87F4-78312B65A29D}"/>
            </a:ext>
          </a:extLst>
        </xdr:cNvPr>
        <xdr:cNvSpPr/>
      </xdr:nvSpPr>
      <xdr:spPr>
        <a:xfrm>
          <a:off x="10334625" y="104774"/>
          <a:ext cx="581025" cy="504825"/>
        </a:xfrm>
        <a:prstGeom prst="round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800" b="1"/>
            <a:t>-</a:t>
          </a:r>
        </a:p>
      </xdr:txBody>
    </xdr:sp>
    <xdr:clientData/>
  </xdr:twoCellAnchor>
  <xdr:twoCellAnchor>
    <xdr:from>
      <xdr:col>13</xdr:col>
      <xdr:colOff>38100</xdr:colOff>
      <xdr:row>0</xdr:row>
      <xdr:rowOff>114300</xdr:rowOff>
    </xdr:from>
    <xdr:to>
      <xdr:col>14</xdr:col>
      <xdr:colOff>28575</xdr:colOff>
      <xdr:row>0</xdr:row>
      <xdr:rowOff>638175</xdr:rowOff>
    </xdr:to>
    <xdr:sp macro="[1]!InsertarImagenYTitulo" textlink="">
      <xdr:nvSpPr>
        <xdr:cNvPr id="5" name="Rectángulo: esquinas redondeadas 4">
          <a:extLst>
            <a:ext uri="{FF2B5EF4-FFF2-40B4-BE49-F238E27FC236}">
              <a16:creationId xmlns:a16="http://schemas.microsoft.com/office/drawing/2014/main" id="{A1ADBF51-4B09-4437-8023-9F67C28DDBD5}"/>
            </a:ext>
          </a:extLst>
        </xdr:cNvPr>
        <xdr:cNvSpPr/>
      </xdr:nvSpPr>
      <xdr:spPr>
        <a:xfrm>
          <a:off x="11020425" y="114300"/>
          <a:ext cx="619125" cy="523875"/>
        </a:xfrm>
        <a:prstGeom prst="roundRect">
          <a:avLst/>
        </a:prstGeom>
        <a:blipFill dpi="0" rotWithShape="1">
          <a:blip xmlns:r="http://schemas.openxmlformats.org/officeDocument/2006/relationships" r:embed="rId2" cstate="print">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166666</xdr:colOff>
      <xdr:row>0</xdr:row>
      <xdr:rowOff>81915</xdr:rowOff>
    </xdr:from>
    <xdr:to>
      <xdr:col>3</xdr:col>
      <xdr:colOff>535305</xdr:colOff>
      <xdr:row>0</xdr:row>
      <xdr:rowOff>657225</xdr:rowOff>
    </xdr:to>
    <xdr:pic>
      <xdr:nvPicPr>
        <xdr:cNvPr id="2" name="Imagen 1">
          <a:extLst>
            <a:ext uri="{FF2B5EF4-FFF2-40B4-BE49-F238E27FC236}">
              <a16:creationId xmlns:a16="http://schemas.microsoft.com/office/drawing/2014/main" id="{B76296AC-DB88-40E4-81AD-C30FFD5C43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6666" y="81915"/>
          <a:ext cx="2130764" cy="575310"/>
        </a:xfrm>
        <a:prstGeom prst="rect">
          <a:avLst/>
        </a:prstGeom>
        <a:noFill/>
      </xdr:spPr>
    </xdr:pic>
    <xdr:clientData/>
  </xdr:twoCellAnchor>
  <xdr:twoCellAnchor>
    <xdr:from>
      <xdr:col>10</xdr:col>
      <xdr:colOff>95250</xdr:colOff>
      <xdr:row>0</xdr:row>
      <xdr:rowOff>104775</xdr:rowOff>
    </xdr:from>
    <xdr:to>
      <xdr:col>11</xdr:col>
      <xdr:colOff>514350</xdr:colOff>
      <xdr:row>0</xdr:row>
      <xdr:rowOff>609600</xdr:rowOff>
    </xdr:to>
    <xdr:sp macro="[1]!InsertarFila" textlink="">
      <xdr:nvSpPr>
        <xdr:cNvPr id="3" name="Rectángulo: esquinas redondeadas 2">
          <a:extLst>
            <a:ext uri="{FF2B5EF4-FFF2-40B4-BE49-F238E27FC236}">
              <a16:creationId xmlns:a16="http://schemas.microsoft.com/office/drawing/2014/main" id="{E840FD1C-DED0-426B-BDFE-951B5116A742}"/>
            </a:ext>
          </a:extLst>
        </xdr:cNvPr>
        <xdr:cNvSpPr/>
      </xdr:nvSpPr>
      <xdr:spPr>
        <a:xfrm>
          <a:off x="9658350" y="104775"/>
          <a:ext cx="581025" cy="50482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a:t>+</a:t>
          </a:r>
        </a:p>
      </xdr:txBody>
    </xdr:sp>
    <xdr:clientData/>
  </xdr:twoCellAnchor>
  <xdr:twoCellAnchor>
    <xdr:from>
      <xdr:col>11</xdr:col>
      <xdr:colOff>609600</xdr:colOff>
      <xdr:row>0</xdr:row>
      <xdr:rowOff>104774</xdr:rowOff>
    </xdr:from>
    <xdr:to>
      <xdr:col>12</xdr:col>
      <xdr:colOff>561975</xdr:colOff>
      <xdr:row>0</xdr:row>
      <xdr:rowOff>609599</xdr:rowOff>
    </xdr:to>
    <xdr:sp macro="[1]!EliminarFila" textlink="">
      <xdr:nvSpPr>
        <xdr:cNvPr id="4" name="Rectángulo: esquinas redondeadas 3">
          <a:extLst>
            <a:ext uri="{FF2B5EF4-FFF2-40B4-BE49-F238E27FC236}">
              <a16:creationId xmlns:a16="http://schemas.microsoft.com/office/drawing/2014/main" id="{0E7C0F65-02FD-4E6B-80DA-986CFF4DA85A}"/>
            </a:ext>
          </a:extLst>
        </xdr:cNvPr>
        <xdr:cNvSpPr/>
      </xdr:nvSpPr>
      <xdr:spPr>
        <a:xfrm>
          <a:off x="10334625" y="104774"/>
          <a:ext cx="581025" cy="504825"/>
        </a:xfrm>
        <a:prstGeom prst="round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800" b="1"/>
            <a:t>-</a:t>
          </a:r>
        </a:p>
      </xdr:txBody>
    </xdr:sp>
    <xdr:clientData/>
  </xdr:twoCellAnchor>
  <xdr:twoCellAnchor>
    <xdr:from>
      <xdr:col>13</xdr:col>
      <xdr:colOff>38100</xdr:colOff>
      <xdr:row>0</xdr:row>
      <xdr:rowOff>114300</xdr:rowOff>
    </xdr:from>
    <xdr:to>
      <xdr:col>14</xdr:col>
      <xdr:colOff>28575</xdr:colOff>
      <xdr:row>0</xdr:row>
      <xdr:rowOff>638175</xdr:rowOff>
    </xdr:to>
    <xdr:sp macro="[1]!InsertarImagenYTitulo" textlink="">
      <xdr:nvSpPr>
        <xdr:cNvPr id="5" name="Rectángulo: esquinas redondeadas 4">
          <a:extLst>
            <a:ext uri="{FF2B5EF4-FFF2-40B4-BE49-F238E27FC236}">
              <a16:creationId xmlns:a16="http://schemas.microsoft.com/office/drawing/2014/main" id="{25C55F4C-BFD7-42D7-9491-2D6DD972B3CF}"/>
            </a:ext>
          </a:extLst>
        </xdr:cNvPr>
        <xdr:cNvSpPr/>
      </xdr:nvSpPr>
      <xdr:spPr>
        <a:xfrm>
          <a:off x="11020425" y="114300"/>
          <a:ext cx="619125" cy="523875"/>
        </a:xfrm>
        <a:prstGeom prst="roundRect">
          <a:avLst/>
        </a:prstGeom>
        <a:blipFill dpi="0" rotWithShape="1">
          <a:blip xmlns:r="http://schemas.openxmlformats.org/officeDocument/2006/relationships" r:embed="rId2" cstate="print">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166666</xdr:colOff>
      <xdr:row>0</xdr:row>
      <xdr:rowOff>81915</xdr:rowOff>
    </xdr:from>
    <xdr:to>
      <xdr:col>3</xdr:col>
      <xdr:colOff>535305</xdr:colOff>
      <xdr:row>0</xdr:row>
      <xdr:rowOff>657225</xdr:rowOff>
    </xdr:to>
    <xdr:pic>
      <xdr:nvPicPr>
        <xdr:cNvPr id="2" name="Imagen 1">
          <a:extLst>
            <a:ext uri="{FF2B5EF4-FFF2-40B4-BE49-F238E27FC236}">
              <a16:creationId xmlns:a16="http://schemas.microsoft.com/office/drawing/2014/main" id="{9AF13D78-1369-41DB-967F-48925CF3613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6666" y="81915"/>
          <a:ext cx="2130764" cy="575310"/>
        </a:xfrm>
        <a:prstGeom prst="rect">
          <a:avLst/>
        </a:prstGeom>
        <a:noFill/>
      </xdr:spPr>
    </xdr:pic>
    <xdr:clientData/>
  </xdr:twoCellAnchor>
  <xdr:twoCellAnchor>
    <xdr:from>
      <xdr:col>10</xdr:col>
      <xdr:colOff>95250</xdr:colOff>
      <xdr:row>0</xdr:row>
      <xdr:rowOff>104775</xdr:rowOff>
    </xdr:from>
    <xdr:to>
      <xdr:col>11</xdr:col>
      <xdr:colOff>514350</xdr:colOff>
      <xdr:row>0</xdr:row>
      <xdr:rowOff>609600</xdr:rowOff>
    </xdr:to>
    <xdr:sp macro="[1]!InsertarFila" textlink="">
      <xdr:nvSpPr>
        <xdr:cNvPr id="3" name="Rectángulo: esquinas redondeadas 2">
          <a:extLst>
            <a:ext uri="{FF2B5EF4-FFF2-40B4-BE49-F238E27FC236}">
              <a16:creationId xmlns:a16="http://schemas.microsoft.com/office/drawing/2014/main" id="{7087F8A7-7A11-472D-A846-DE5EBE9D7F77}"/>
            </a:ext>
          </a:extLst>
        </xdr:cNvPr>
        <xdr:cNvSpPr/>
      </xdr:nvSpPr>
      <xdr:spPr>
        <a:xfrm>
          <a:off x="9658350" y="104775"/>
          <a:ext cx="581025" cy="50482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a:t>+</a:t>
          </a:r>
        </a:p>
      </xdr:txBody>
    </xdr:sp>
    <xdr:clientData/>
  </xdr:twoCellAnchor>
  <xdr:twoCellAnchor>
    <xdr:from>
      <xdr:col>11</xdr:col>
      <xdr:colOff>609600</xdr:colOff>
      <xdr:row>0</xdr:row>
      <xdr:rowOff>104774</xdr:rowOff>
    </xdr:from>
    <xdr:to>
      <xdr:col>12</xdr:col>
      <xdr:colOff>561975</xdr:colOff>
      <xdr:row>0</xdr:row>
      <xdr:rowOff>609599</xdr:rowOff>
    </xdr:to>
    <xdr:sp macro="[1]!EliminarFila" textlink="">
      <xdr:nvSpPr>
        <xdr:cNvPr id="4" name="Rectángulo: esquinas redondeadas 3">
          <a:extLst>
            <a:ext uri="{FF2B5EF4-FFF2-40B4-BE49-F238E27FC236}">
              <a16:creationId xmlns:a16="http://schemas.microsoft.com/office/drawing/2014/main" id="{0BA87B2D-01E2-4F54-BF82-1C7B8DA786BB}"/>
            </a:ext>
          </a:extLst>
        </xdr:cNvPr>
        <xdr:cNvSpPr/>
      </xdr:nvSpPr>
      <xdr:spPr>
        <a:xfrm>
          <a:off x="10334625" y="104774"/>
          <a:ext cx="581025" cy="504825"/>
        </a:xfrm>
        <a:prstGeom prst="round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800" b="1"/>
            <a:t>-</a:t>
          </a:r>
        </a:p>
      </xdr:txBody>
    </xdr:sp>
    <xdr:clientData/>
  </xdr:twoCellAnchor>
  <xdr:twoCellAnchor>
    <xdr:from>
      <xdr:col>13</xdr:col>
      <xdr:colOff>38100</xdr:colOff>
      <xdr:row>0</xdr:row>
      <xdr:rowOff>114300</xdr:rowOff>
    </xdr:from>
    <xdr:to>
      <xdr:col>14</xdr:col>
      <xdr:colOff>28575</xdr:colOff>
      <xdr:row>0</xdr:row>
      <xdr:rowOff>638175</xdr:rowOff>
    </xdr:to>
    <xdr:sp macro="[1]!InsertarImagenYTitulo" textlink="">
      <xdr:nvSpPr>
        <xdr:cNvPr id="5" name="Rectángulo: esquinas redondeadas 4">
          <a:extLst>
            <a:ext uri="{FF2B5EF4-FFF2-40B4-BE49-F238E27FC236}">
              <a16:creationId xmlns:a16="http://schemas.microsoft.com/office/drawing/2014/main" id="{BA61FD92-73EE-4047-8310-9C4BF06719EF}"/>
            </a:ext>
          </a:extLst>
        </xdr:cNvPr>
        <xdr:cNvSpPr/>
      </xdr:nvSpPr>
      <xdr:spPr>
        <a:xfrm>
          <a:off x="11020425" y="114300"/>
          <a:ext cx="619125" cy="523875"/>
        </a:xfrm>
        <a:prstGeom prst="roundRect">
          <a:avLst/>
        </a:prstGeom>
        <a:blipFill dpi="0" rotWithShape="1">
          <a:blip xmlns:r="http://schemas.openxmlformats.org/officeDocument/2006/relationships" r:embed="rId2" cstate="print">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166666</xdr:colOff>
      <xdr:row>0</xdr:row>
      <xdr:rowOff>81915</xdr:rowOff>
    </xdr:from>
    <xdr:to>
      <xdr:col>3</xdr:col>
      <xdr:colOff>535305</xdr:colOff>
      <xdr:row>0</xdr:row>
      <xdr:rowOff>657225</xdr:rowOff>
    </xdr:to>
    <xdr:pic>
      <xdr:nvPicPr>
        <xdr:cNvPr id="2" name="Imagen 1">
          <a:extLst>
            <a:ext uri="{FF2B5EF4-FFF2-40B4-BE49-F238E27FC236}">
              <a16:creationId xmlns:a16="http://schemas.microsoft.com/office/drawing/2014/main" id="{A8C6C156-26CD-4747-97FB-DC8C7E6EC0C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6666" y="81915"/>
          <a:ext cx="2130764" cy="575310"/>
        </a:xfrm>
        <a:prstGeom prst="rect">
          <a:avLst/>
        </a:prstGeom>
        <a:noFill/>
      </xdr:spPr>
    </xdr:pic>
    <xdr:clientData/>
  </xdr:twoCellAnchor>
  <xdr:twoCellAnchor>
    <xdr:from>
      <xdr:col>10</xdr:col>
      <xdr:colOff>95250</xdr:colOff>
      <xdr:row>0</xdr:row>
      <xdr:rowOff>104775</xdr:rowOff>
    </xdr:from>
    <xdr:to>
      <xdr:col>11</xdr:col>
      <xdr:colOff>514350</xdr:colOff>
      <xdr:row>0</xdr:row>
      <xdr:rowOff>609600</xdr:rowOff>
    </xdr:to>
    <xdr:sp macro="[1]!InsertarFila" textlink="">
      <xdr:nvSpPr>
        <xdr:cNvPr id="3" name="Rectángulo: esquinas redondeadas 2">
          <a:extLst>
            <a:ext uri="{FF2B5EF4-FFF2-40B4-BE49-F238E27FC236}">
              <a16:creationId xmlns:a16="http://schemas.microsoft.com/office/drawing/2014/main" id="{88A3177E-06E8-40FD-BD7A-88867A6AE7DD}"/>
            </a:ext>
          </a:extLst>
        </xdr:cNvPr>
        <xdr:cNvSpPr/>
      </xdr:nvSpPr>
      <xdr:spPr>
        <a:xfrm>
          <a:off x="9658350" y="104775"/>
          <a:ext cx="581025" cy="50482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a:t>+</a:t>
          </a:r>
        </a:p>
      </xdr:txBody>
    </xdr:sp>
    <xdr:clientData/>
  </xdr:twoCellAnchor>
  <xdr:twoCellAnchor>
    <xdr:from>
      <xdr:col>11</xdr:col>
      <xdr:colOff>609600</xdr:colOff>
      <xdr:row>0</xdr:row>
      <xdr:rowOff>104774</xdr:rowOff>
    </xdr:from>
    <xdr:to>
      <xdr:col>12</xdr:col>
      <xdr:colOff>561975</xdr:colOff>
      <xdr:row>0</xdr:row>
      <xdr:rowOff>609599</xdr:rowOff>
    </xdr:to>
    <xdr:sp macro="[1]!EliminarFila" textlink="">
      <xdr:nvSpPr>
        <xdr:cNvPr id="4" name="Rectángulo: esquinas redondeadas 3">
          <a:extLst>
            <a:ext uri="{FF2B5EF4-FFF2-40B4-BE49-F238E27FC236}">
              <a16:creationId xmlns:a16="http://schemas.microsoft.com/office/drawing/2014/main" id="{CCE42D85-5268-49A5-B567-519DEEB87FD9}"/>
            </a:ext>
          </a:extLst>
        </xdr:cNvPr>
        <xdr:cNvSpPr/>
      </xdr:nvSpPr>
      <xdr:spPr>
        <a:xfrm>
          <a:off x="10334625" y="104774"/>
          <a:ext cx="581025" cy="504825"/>
        </a:xfrm>
        <a:prstGeom prst="round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800" b="1"/>
            <a:t>-</a:t>
          </a:r>
        </a:p>
      </xdr:txBody>
    </xdr:sp>
    <xdr:clientData/>
  </xdr:twoCellAnchor>
  <xdr:twoCellAnchor>
    <xdr:from>
      <xdr:col>13</xdr:col>
      <xdr:colOff>38100</xdr:colOff>
      <xdr:row>0</xdr:row>
      <xdr:rowOff>114300</xdr:rowOff>
    </xdr:from>
    <xdr:to>
      <xdr:col>14</xdr:col>
      <xdr:colOff>28575</xdr:colOff>
      <xdr:row>0</xdr:row>
      <xdr:rowOff>638175</xdr:rowOff>
    </xdr:to>
    <xdr:sp macro="[1]!InsertarImagenYTitulo" textlink="">
      <xdr:nvSpPr>
        <xdr:cNvPr id="5" name="Rectángulo: esquinas redondeadas 4">
          <a:extLst>
            <a:ext uri="{FF2B5EF4-FFF2-40B4-BE49-F238E27FC236}">
              <a16:creationId xmlns:a16="http://schemas.microsoft.com/office/drawing/2014/main" id="{83171506-71E3-486D-BB9F-51C841EED2EE}"/>
            </a:ext>
          </a:extLst>
        </xdr:cNvPr>
        <xdr:cNvSpPr/>
      </xdr:nvSpPr>
      <xdr:spPr>
        <a:xfrm>
          <a:off x="11020425" y="114300"/>
          <a:ext cx="619125" cy="523875"/>
        </a:xfrm>
        <a:prstGeom prst="roundRect">
          <a:avLst/>
        </a:prstGeom>
        <a:blipFill dpi="0" rotWithShape="1">
          <a:blip xmlns:r="http://schemas.openxmlformats.org/officeDocument/2006/relationships" r:embed="rId2" cstate="print">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166666</xdr:colOff>
      <xdr:row>0</xdr:row>
      <xdr:rowOff>81915</xdr:rowOff>
    </xdr:from>
    <xdr:to>
      <xdr:col>3</xdr:col>
      <xdr:colOff>535305</xdr:colOff>
      <xdr:row>0</xdr:row>
      <xdr:rowOff>657225</xdr:rowOff>
    </xdr:to>
    <xdr:pic>
      <xdr:nvPicPr>
        <xdr:cNvPr id="2" name="Imagen 1">
          <a:extLst>
            <a:ext uri="{FF2B5EF4-FFF2-40B4-BE49-F238E27FC236}">
              <a16:creationId xmlns:a16="http://schemas.microsoft.com/office/drawing/2014/main" id="{AE14C1E0-2100-41C3-BDEC-C232D8881E8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6666" y="81915"/>
          <a:ext cx="2130764" cy="575310"/>
        </a:xfrm>
        <a:prstGeom prst="rect">
          <a:avLst/>
        </a:prstGeom>
        <a:noFill/>
      </xdr:spPr>
    </xdr:pic>
    <xdr:clientData/>
  </xdr:twoCellAnchor>
  <xdr:twoCellAnchor>
    <xdr:from>
      <xdr:col>10</xdr:col>
      <xdr:colOff>95250</xdr:colOff>
      <xdr:row>0</xdr:row>
      <xdr:rowOff>104775</xdr:rowOff>
    </xdr:from>
    <xdr:to>
      <xdr:col>11</xdr:col>
      <xdr:colOff>514350</xdr:colOff>
      <xdr:row>0</xdr:row>
      <xdr:rowOff>609600</xdr:rowOff>
    </xdr:to>
    <xdr:sp macro="[1]!InsertarFila" textlink="">
      <xdr:nvSpPr>
        <xdr:cNvPr id="3" name="Rectángulo: esquinas redondeadas 2">
          <a:extLst>
            <a:ext uri="{FF2B5EF4-FFF2-40B4-BE49-F238E27FC236}">
              <a16:creationId xmlns:a16="http://schemas.microsoft.com/office/drawing/2014/main" id="{DD0383E7-4F27-4E44-A7A4-677B14DB5750}"/>
            </a:ext>
          </a:extLst>
        </xdr:cNvPr>
        <xdr:cNvSpPr/>
      </xdr:nvSpPr>
      <xdr:spPr>
        <a:xfrm>
          <a:off x="9658350" y="104775"/>
          <a:ext cx="581025" cy="50482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b="1"/>
            <a:t>+</a:t>
          </a:r>
        </a:p>
      </xdr:txBody>
    </xdr:sp>
    <xdr:clientData/>
  </xdr:twoCellAnchor>
  <xdr:twoCellAnchor>
    <xdr:from>
      <xdr:col>11</xdr:col>
      <xdr:colOff>609600</xdr:colOff>
      <xdr:row>0</xdr:row>
      <xdr:rowOff>104774</xdr:rowOff>
    </xdr:from>
    <xdr:to>
      <xdr:col>12</xdr:col>
      <xdr:colOff>561975</xdr:colOff>
      <xdr:row>0</xdr:row>
      <xdr:rowOff>609599</xdr:rowOff>
    </xdr:to>
    <xdr:sp macro="[1]!EliminarFila" textlink="">
      <xdr:nvSpPr>
        <xdr:cNvPr id="4" name="Rectángulo: esquinas redondeadas 3">
          <a:extLst>
            <a:ext uri="{FF2B5EF4-FFF2-40B4-BE49-F238E27FC236}">
              <a16:creationId xmlns:a16="http://schemas.microsoft.com/office/drawing/2014/main" id="{A5BC0410-EDD7-4544-AEE0-B1C627EFF953}"/>
            </a:ext>
          </a:extLst>
        </xdr:cNvPr>
        <xdr:cNvSpPr/>
      </xdr:nvSpPr>
      <xdr:spPr>
        <a:xfrm>
          <a:off x="10334625" y="104774"/>
          <a:ext cx="581025" cy="504825"/>
        </a:xfrm>
        <a:prstGeom prst="roundRect">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800" b="1"/>
            <a:t>-</a:t>
          </a:r>
        </a:p>
      </xdr:txBody>
    </xdr:sp>
    <xdr:clientData/>
  </xdr:twoCellAnchor>
  <xdr:twoCellAnchor>
    <xdr:from>
      <xdr:col>13</xdr:col>
      <xdr:colOff>38100</xdr:colOff>
      <xdr:row>0</xdr:row>
      <xdr:rowOff>114300</xdr:rowOff>
    </xdr:from>
    <xdr:to>
      <xdr:col>14</xdr:col>
      <xdr:colOff>28575</xdr:colOff>
      <xdr:row>0</xdr:row>
      <xdr:rowOff>638175</xdr:rowOff>
    </xdr:to>
    <xdr:sp macro="[1]!InsertarImagenYTitulo" textlink="">
      <xdr:nvSpPr>
        <xdr:cNvPr id="5" name="Rectángulo: esquinas redondeadas 4">
          <a:extLst>
            <a:ext uri="{FF2B5EF4-FFF2-40B4-BE49-F238E27FC236}">
              <a16:creationId xmlns:a16="http://schemas.microsoft.com/office/drawing/2014/main" id="{2E6B8FE3-A449-4DED-86D9-EB69E0A1A2FC}"/>
            </a:ext>
          </a:extLst>
        </xdr:cNvPr>
        <xdr:cNvSpPr/>
      </xdr:nvSpPr>
      <xdr:spPr>
        <a:xfrm>
          <a:off x="11020425" y="114300"/>
          <a:ext cx="619125" cy="523875"/>
        </a:xfrm>
        <a:prstGeom prst="roundRect">
          <a:avLst/>
        </a:prstGeom>
        <a:blipFill dpi="0" rotWithShape="1">
          <a:blip xmlns:r="http://schemas.openxmlformats.org/officeDocument/2006/relationships" r:embed="rId2" cstate="print">
            <a:extLst>
              <a:ext uri="{28A0092B-C50C-407E-A947-70E740481C1C}">
                <a14:useLocalDpi xmlns:a14="http://schemas.microsoft.com/office/drawing/2010/main" val="0"/>
              </a:ext>
            </a:extLst>
          </a:blip>
          <a:srcRect/>
          <a:stretch>
            <a:fillRect/>
          </a:stretch>
        </a:bli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monroy\Tema\ReporteDiario\240422%20Macros%20RD%20HSE.xlsm" TargetMode="External"/><Relationship Id="rId1" Type="http://schemas.openxmlformats.org/officeDocument/2006/relationships/externalLinkPath" Target="/Users/lmonroy/Tema/ReporteDiario/240422%20Macros%20RD%20H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incipal"/>
      <sheetName val="General"/>
      <sheetName val="Frentes"/>
      <sheetName val="Sector"/>
      <sheetName val="Codificación"/>
      <sheetName val="Proyectos"/>
      <sheetName val="Tabla Inspecciones"/>
      <sheetName val="Tabla Tipo Capacitación"/>
      <sheetName val="Tabla Capacitaciones"/>
      <sheetName val="Tabla Atenciones Médicas"/>
      <sheetName val="Trabajadores"/>
      <sheetName val="Asistencia"/>
      <sheetName val="Capacitaciones"/>
      <sheetName val="Resumen HSE"/>
      <sheetName val="Frente HSE"/>
      <sheetName val="sumatorias"/>
      <sheetName val="adicionales"/>
    </sheetNames>
    <definedNames>
      <definedName name="EliminarFila"/>
      <definedName name="InsertarFila"/>
      <definedName name="InsertarImagenYTitul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95D84-7A7F-4BBF-866A-2B283E7108FD}">
  <sheetPr codeName="Hoja13"/>
  <dimension ref="A1:B165"/>
  <sheetViews>
    <sheetView workbookViewId="0">
      <selection activeCell="F15" sqref="F15"/>
    </sheetView>
  </sheetViews>
  <sheetFormatPr baseColWidth="10" defaultRowHeight="15" x14ac:dyDescent="0.25"/>
  <cols>
    <col min="2" max="2" width="41" customWidth="1"/>
  </cols>
  <sheetData>
    <row r="1" spans="1:2" x14ac:dyDescent="0.25">
      <c r="A1" s="73" t="s">
        <v>105</v>
      </c>
      <c r="B1" s="74" t="s">
        <v>106</v>
      </c>
    </row>
    <row r="2" spans="1:2" x14ac:dyDescent="0.25">
      <c r="A2" s="75" t="s">
        <v>107</v>
      </c>
      <c r="B2" s="76" t="s">
        <v>108</v>
      </c>
    </row>
    <row r="3" spans="1:2" x14ac:dyDescent="0.25">
      <c r="A3" s="77" t="s">
        <v>109</v>
      </c>
      <c r="B3" s="78" t="s">
        <v>110</v>
      </c>
    </row>
    <row r="4" spans="1:2" x14ac:dyDescent="0.25">
      <c r="A4" s="75" t="s">
        <v>111</v>
      </c>
      <c r="B4" s="76" t="s">
        <v>112</v>
      </c>
    </row>
    <row r="5" spans="1:2" x14ac:dyDescent="0.25">
      <c r="A5" s="77" t="s">
        <v>113</v>
      </c>
      <c r="B5" s="78" t="s">
        <v>114</v>
      </c>
    </row>
    <row r="6" spans="1:2" x14ac:dyDescent="0.25">
      <c r="A6" s="75" t="s">
        <v>115</v>
      </c>
      <c r="B6" s="76" t="s">
        <v>116</v>
      </c>
    </row>
    <row r="7" spans="1:2" x14ac:dyDescent="0.25">
      <c r="A7" s="77" t="s">
        <v>117</v>
      </c>
      <c r="B7" s="78" t="s">
        <v>118</v>
      </c>
    </row>
    <row r="8" spans="1:2" x14ac:dyDescent="0.25">
      <c r="A8" s="75" t="s">
        <v>119</v>
      </c>
      <c r="B8" s="76" t="s">
        <v>120</v>
      </c>
    </row>
    <row r="9" spans="1:2" x14ac:dyDescent="0.25">
      <c r="A9" s="77" t="s">
        <v>121</v>
      </c>
      <c r="B9" s="78" t="s">
        <v>122</v>
      </c>
    </row>
    <row r="10" spans="1:2" x14ac:dyDescent="0.25">
      <c r="A10" s="75" t="s">
        <v>123</v>
      </c>
      <c r="B10" s="76" t="s">
        <v>124</v>
      </c>
    </row>
    <row r="11" spans="1:2" x14ac:dyDescent="0.25">
      <c r="A11" s="77" t="s">
        <v>125</v>
      </c>
      <c r="B11" s="78" t="s">
        <v>126</v>
      </c>
    </row>
    <row r="12" spans="1:2" x14ac:dyDescent="0.25">
      <c r="A12" s="75" t="s">
        <v>127</v>
      </c>
      <c r="B12" s="76" t="s">
        <v>128</v>
      </c>
    </row>
    <row r="13" spans="1:2" x14ac:dyDescent="0.25">
      <c r="A13" s="77" t="s">
        <v>129</v>
      </c>
      <c r="B13" s="78" t="s">
        <v>130</v>
      </c>
    </row>
    <row r="14" spans="1:2" x14ac:dyDescent="0.25">
      <c r="A14" s="75" t="s">
        <v>131</v>
      </c>
      <c r="B14" s="76" t="s">
        <v>132</v>
      </c>
    </row>
    <row r="15" spans="1:2" x14ac:dyDescent="0.25">
      <c r="A15" s="77" t="s">
        <v>133</v>
      </c>
      <c r="B15" s="78" t="s">
        <v>134</v>
      </c>
    </row>
    <row r="16" spans="1:2" x14ac:dyDescent="0.25">
      <c r="A16" s="75" t="s">
        <v>135</v>
      </c>
      <c r="B16" s="76" t="s">
        <v>136</v>
      </c>
    </row>
    <row r="17" spans="1:2" x14ac:dyDescent="0.25">
      <c r="A17" s="77" t="s">
        <v>137</v>
      </c>
      <c r="B17" s="78" t="s">
        <v>138</v>
      </c>
    </row>
    <row r="18" spans="1:2" x14ac:dyDescent="0.25">
      <c r="A18" s="75" t="s">
        <v>139</v>
      </c>
      <c r="B18" s="76" t="s">
        <v>140</v>
      </c>
    </row>
    <row r="19" spans="1:2" x14ac:dyDescent="0.25">
      <c r="A19" s="77" t="s">
        <v>141</v>
      </c>
      <c r="B19" s="78" t="s">
        <v>142</v>
      </c>
    </row>
    <row r="20" spans="1:2" x14ac:dyDescent="0.25">
      <c r="A20" s="75" t="s">
        <v>143</v>
      </c>
      <c r="B20" s="76" t="s">
        <v>144</v>
      </c>
    </row>
    <row r="21" spans="1:2" x14ac:dyDescent="0.25">
      <c r="A21" s="77" t="s">
        <v>145</v>
      </c>
      <c r="B21" s="78" t="s">
        <v>146</v>
      </c>
    </row>
    <row r="22" spans="1:2" x14ac:dyDescent="0.25">
      <c r="A22" s="75" t="s">
        <v>147</v>
      </c>
      <c r="B22" s="76" t="s">
        <v>148</v>
      </c>
    </row>
    <row r="23" spans="1:2" x14ac:dyDescent="0.25">
      <c r="A23" s="77" t="s">
        <v>149</v>
      </c>
      <c r="B23" s="78" t="s">
        <v>150</v>
      </c>
    </row>
    <row r="24" spans="1:2" x14ac:dyDescent="0.25">
      <c r="A24" s="75" t="s">
        <v>151</v>
      </c>
      <c r="B24" s="76" t="s">
        <v>152</v>
      </c>
    </row>
    <row r="25" spans="1:2" x14ac:dyDescent="0.25">
      <c r="A25" s="77" t="s">
        <v>153</v>
      </c>
      <c r="B25" s="78" t="s">
        <v>154</v>
      </c>
    </row>
    <row r="26" spans="1:2" x14ac:dyDescent="0.25">
      <c r="A26" s="75" t="s">
        <v>155</v>
      </c>
      <c r="B26" s="76" t="s">
        <v>156</v>
      </c>
    </row>
    <row r="27" spans="1:2" x14ac:dyDescent="0.25">
      <c r="A27" s="77" t="s">
        <v>157</v>
      </c>
      <c r="B27" s="78" t="s">
        <v>158</v>
      </c>
    </row>
    <row r="28" spans="1:2" x14ac:dyDescent="0.25">
      <c r="A28" s="75" t="s">
        <v>159</v>
      </c>
      <c r="B28" s="76" t="s">
        <v>160</v>
      </c>
    </row>
    <row r="29" spans="1:2" x14ac:dyDescent="0.25">
      <c r="A29" s="77" t="s">
        <v>161</v>
      </c>
      <c r="B29" s="78" t="s">
        <v>162</v>
      </c>
    </row>
    <row r="30" spans="1:2" x14ac:dyDescent="0.25">
      <c r="A30" s="75" t="s">
        <v>163</v>
      </c>
      <c r="B30" s="76" t="s">
        <v>164</v>
      </c>
    </row>
    <row r="31" spans="1:2" x14ac:dyDescent="0.25">
      <c r="A31" s="77" t="s">
        <v>165</v>
      </c>
      <c r="B31" s="78" t="s">
        <v>166</v>
      </c>
    </row>
    <row r="32" spans="1:2" x14ac:dyDescent="0.25">
      <c r="A32" s="75" t="s">
        <v>167</v>
      </c>
      <c r="B32" s="76" t="s">
        <v>168</v>
      </c>
    </row>
    <row r="33" spans="1:2" x14ac:dyDescent="0.25">
      <c r="A33" s="77" t="s">
        <v>169</v>
      </c>
      <c r="B33" s="78" t="s">
        <v>170</v>
      </c>
    </row>
    <row r="34" spans="1:2" x14ac:dyDescent="0.25">
      <c r="A34" s="75" t="s">
        <v>171</v>
      </c>
      <c r="B34" s="76" t="s">
        <v>172</v>
      </c>
    </row>
    <row r="35" spans="1:2" x14ac:dyDescent="0.25">
      <c r="A35" s="77" t="s">
        <v>173</v>
      </c>
      <c r="B35" s="78" t="s">
        <v>174</v>
      </c>
    </row>
    <row r="36" spans="1:2" x14ac:dyDescent="0.25">
      <c r="A36" s="75" t="s">
        <v>175</v>
      </c>
      <c r="B36" s="76" t="s">
        <v>176</v>
      </c>
    </row>
    <row r="37" spans="1:2" x14ac:dyDescent="0.25">
      <c r="A37" s="77" t="s">
        <v>177</v>
      </c>
      <c r="B37" s="78" t="s">
        <v>178</v>
      </c>
    </row>
    <row r="38" spans="1:2" x14ac:dyDescent="0.25">
      <c r="A38" s="75" t="s">
        <v>179</v>
      </c>
      <c r="B38" s="76" t="s">
        <v>180</v>
      </c>
    </row>
    <row r="39" spans="1:2" x14ac:dyDescent="0.25">
      <c r="A39" s="77" t="s">
        <v>181</v>
      </c>
      <c r="B39" s="78" t="s">
        <v>182</v>
      </c>
    </row>
    <row r="40" spans="1:2" x14ac:dyDescent="0.25">
      <c r="A40" s="75" t="s">
        <v>183</v>
      </c>
      <c r="B40" s="76" t="s">
        <v>184</v>
      </c>
    </row>
    <row r="41" spans="1:2" x14ac:dyDescent="0.25">
      <c r="A41" s="77" t="s">
        <v>185</v>
      </c>
      <c r="B41" s="78" t="s">
        <v>186</v>
      </c>
    </row>
    <row r="42" spans="1:2" x14ac:dyDescent="0.25">
      <c r="A42" s="75" t="s">
        <v>187</v>
      </c>
      <c r="B42" s="76" t="s">
        <v>188</v>
      </c>
    </row>
    <row r="43" spans="1:2" x14ac:dyDescent="0.25">
      <c r="A43" s="77" t="s">
        <v>107</v>
      </c>
      <c r="B43" s="78" t="s">
        <v>108</v>
      </c>
    </row>
    <row r="44" spans="1:2" x14ac:dyDescent="0.25">
      <c r="A44" s="75" t="s">
        <v>109</v>
      </c>
      <c r="B44" s="76" t="s">
        <v>110</v>
      </c>
    </row>
    <row r="45" spans="1:2" x14ac:dyDescent="0.25">
      <c r="A45" s="77" t="s">
        <v>111</v>
      </c>
      <c r="B45" s="78" t="s">
        <v>112</v>
      </c>
    </row>
    <row r="46" spans="1:2" x14ac:dyDescent="0.25">
      <c r="A46" s="75" t="s">
        <v>113</v>
      </c>
      <c r="B46" s="76" t="s">
        <v>114</v>
      </c>
    </row>
    <row r="47" spans="1:2" x14ac:dyDescent="0.25">
      <c r="A47" s="77" t="s">
        <v>115</v>
      </c>
      <c r="B47" s="78" t="s">
        <v>116</v>
      </c>
    </row>
    <row r="48" spans="1:2" x14ac:dyDescent="0.25">
      <c r="A48" s="75" t="s">
        <v>117</v>
      </c>
      <c r="B48" s="76" t="s">
        <v>118</v>
      </c>
    </row>
    <row r="49" spans="1:2" x14ac:dyDescent="0.25">
      <c r="A49" s="77" t="s">
        <v>119</v>
      </c>
      <c r="B49" s="78" t="s">
        <v>120</v>
      </c>
    </row>
    <row r="50" spans="1:2" x14ac:dyDescent="0.25">
      <c r="A50" s="75" t="s">
        <v>121</v>
      </c>
      <c r="B50" s="76" t="s">
        <v>122</v>
      </c>
    </row>
    <row r="51" spans="1:2" x14ac:dyDescent="0.25">
      <c r="A51" s="77" t="s">
        <v>123</v>
      </c>
      <c r="B51" s="78" t="s">
        <v>124</v>
      </c>
    </row>
    <row r="52" spans="1:2" x14ac:dyDescent="0.25">
      <c r="A52" s="75" t="s">
        <v>125</v>
      </c>
      <c r="B52" s="76" t="s">
        <v>126</v>
      </c>
    </row>
    <row r="53" spans="1:2" x14ac:dyDescent="0.25">
      <c r="A53" s="77" t="s">
        <v>127</v>
      </c>
      <c r="B53" s="78" t="s">
        <v>128</v>
      </c>
    </row>
    <row r="54" spans="1:2" x14ac:dyDescent="0.25">
      <c r="A54" s="75" t="s">
        <v>129</v>
      </c>
      <c r="B54" s="76" t="s">
        <v>130</v>
      </c>
    </row>
    <row r="55" spans="1:2" x14ac:dyDescent="0.25">
      <c r="A55" s="77" t="s">
        <v>131</v>
      </c>
      <c r="B55" s="78" t="s">
        <v>132</v>
      </c>
    </row>
    <row r="56" spans="1:2" x14ac:dyDescent="0.25">
      <c r="A56" s="75" t="s">
        <v>133</v>
      </c>
      <c r="B56" s="76" t="s">
        <v>134</v>
      </c>
    </row>
    <row r="57" spans="1:2" x14ac:dyDescent="0.25">
      <c r="A57" s="77" t="s">
        <v>135</v>
      </c>
      <c r="B57" s="78" t="s">
        <v>136</v>
      </c>
    </row>
    <row r="58" spans="1:2" x14ac:dyDescent="0.25">
      <c r="A58" s="75" t="s">
        <v>137</v>
      </c>
      <c r="B58" s="76" t="s">
        <v>138</v>
      </c>
    </row>
    <row r="59" spans="1:2" x14ac:dyDescent="0.25">
      <c r="A59" s="77" t="s">
        <v>139</v>
      </c>
      <c r="B59" s="78" t="s">
        <v>140</v>
      </c>
    </row>
    <row r="60" spans="1:2" x14ac:dyDescent="0.25">
      <c r="A60" s="75" t="s">
        <v>141</v>
      </c>
      <c r="B60" s="76" t="s">
        <v>142</v>
      </c>
    </row>
    <row r="61" spans="1:2" x14ac:dyDescent="0.25">
      <c r="A61" s="77" t="s">
        <v>143</v>
      </c>
      <c r="B61" s="78" t="s">
        <v>144</v>
      </c>
    </row>
    <row r="62" spans="1:2" x14ac:dyDescent="0.25">
      <c r="A62" s="75" t="s">
        <v>145</v>
      </c>
      <c r="B62" s="76" t="s">
        <v>146</v>
      </c>
    </row>
    <row r="63" spans="1:2" x14ac:dyDescent="0.25">
      <c r="A63" s="77" t="s">
        <v>147</v>
      </c>
      <c r="B63" s="78" t="s">
        <v>148</v>
      </c>
    </row>
    <row r="64" spans="1:2" x14ac:dyDescent="0.25">
      <c r="A64" s="75" t="s">
        <v>149</v>
      </c>
      <c r="B64" s="76" t="s">
        <v>150</v>
      </c>
    </row>
    <row r="65" spans="1:2" x14ac:dyDescent="0.25">
      <c r="A65" s="77" t="s">
        <v>151</v>
      </c>
      <c r="B65" s="78" t="s">
        <v>152</v>
      </c>
    </row>
    <row r="66" spans="1:2" x14ac:dyDescent="0.25">
      <c r="A66" s="75" t="s">
        <v>153</v>
      </c>
      <c r="B66" s="76" t="s">
        <v>154</v>
      </c>
    </row>
    <row r="67" spans="1:2" x14ac:dyDescent="0.25">
      <c r="A67" s="77" t="s">
        <v>155</v>
      </c>
      <c r="B67" s="78" t="s">
        <v>156</v>
      </c>
    </row>
    <row r="68" spans="1:2" x14ac:dyDescent="0.25">
      <c r="A68" s="75" t="s">
        <v>157</v>
      </c>
      <c r="B68" s="76" t="s">
        <v>158</v>
      </c>
    </row>
    <row r="69" spans="1:2" x14ac:dyDescent="0.25">
      <c r="A69" s="77" t="s">
        <v>159</v>
      </c>
      <c r="B69" s="78" t="s">
        <v>160</v>
      </c>
    </row>
    <row r="70" spans="1:2" x14ac:dyDescent="0.25">
      <c r="A70" s="75" t="s">
        <v>161</v>
      </c>
      <c r="B70" s="76" t="s">
        <v>162</v>
      </c>
    </row>
    <row r="71" spans="1:2" x14ac:dyDescent="0.25">
      <c r="A71" s="77" t="s">
        <v>163</v>
      </c>
      <c r="B71" s="78" t="s">
        <v>164</v>
      </c>
    </row>
    <row r="72" spans="1:2" x14ac:dyDescent="0.25">
      <c r="A72" s="75" t="s">
        <v>165</v>
      </c>
      <c r="B72" s="76" t="s">
        <v>166</v>
      </c>
    </row>
    <row r="73" spans="1:2" x14ac:dyDescent="0.25">
      <c r="A73" s="77" t="s">
        <v>167</v>
      </c>
      <c r="B73" s="78" t="s">
        <v>168</v>
      </c>
    </row>
    <row r="74" spans="1:2" x14ac:dyDescent="0.25">
      <c r="A74" s="75" t="s">
        <v>169</v>
      </c>
      <c r="B74" s="76" t="s">
        <v>170</v>
      </c>
    </row>
    <row r="75" spans="1:2" x14ac:dyDescent="0.25">
      <c r="A75" s="77" t="s">
        <v>171</v>
      </c>
      <c r="B75" s="78" t="s">
        <v>172</v>
      </c>
    </row>
    <row r="76" spans="1:2" x14ac:dyDescent="0.25">
      <c r="A76" s="75" t="s">
        <v>173</v>
      </c>
      <c r="B76" s="76" t="s">
        <v>174</v>
      </c>
    </row>
    <row r="77" spans="1:2" x14ac:dyDescent="0.25">
      <c r="A77" s="77" t="s">
        <v>175</v>
      </c>
      <c r="B77" s="78" t="s">
        <v>176</v>
      </c>
    </row>
    <row r="78" spans="1:2" x14ac:dyDescent="0.25">
      <c r="A78" s="75" t="s">
        <v>177</v>
      </c>
      <c r="B78" s="76" t="s">
        <v>178</v>
      </c>
    </row>
    <row r="79" spans="1:2" x14ac:dyDescent="0.25">
      <c r="A79" s="77" t="s">
        <v>179</v>
      </c>
      <c r="B79" s="78" t="s">
        <v>180</v>
      </c>
    </row>
    <row r="80" spans="1:2" x14ac:dyDescent="0.25">
      <c r="A80" s="75" t="s">
        <v>181</v>
      </c>
      <c r="B80" s="76" t="s">
        <v>182</v>
      </c>
    </row>
    <row r="81" spans="1:2" x14ac:dyDescent="0.25">
      <c r="A81" s="77" t="s">
        <v>183</v>
      </c>
      <c r="B81" s="78" t="s">
        <v>184</v>
      </c>
    </row>
    <row r="82" spans="1:2" x14ac:dyDescent="0.25">
      <c r="A82" s="75" t="s">
        <v>185</v>
      </c>
      <c r="B82" s="76" t="s">
        <v>186</v>
      </c>
    </row>
    <row r="83" spans="1:2" x14ac:dyDescent="0.25">
      <c r="A83" s="77" t="s">
        <v>187</v>
      </c>
      <c r="B83" s="78" t="s">
        <v>188</v>
      </c>
    </row>
    <row r="84" spans="1:2" x14ac:dyDescent="0.25">
      <c r="A84" s="75" t="s">
        <v>107</v>
      </c>
      <c r="B84" s="76" t="s">
        <v>108</v>
      </c>
    </row>
    <row r="85" spans="1:2" x14ac:dyDescent="0.25">
      <c r="A85" s="77" t="s">
        <v>109</v>
      </c>
      <c r="B85" s="78" t="s">
        <v>110</v>
      </c>
    </row>
    <row r="86" spans="1:2" x14ac:dyDescent="0.25">
      <c r="A86" s="75" t="s">
        <v>111</v>
      </c>
      <c r="B86" s="76" t="s">
        <v>112</v>
      </c>
    </row>
    <row r="87" spans="1:2" x14ac:dyDescent="0.25">
      <c r="A87" s="77" t="s">
        <v>113</v>
      </c>
      <c r="B87" s="78" t="s">
        <v>114</v>
      </c>
    </row>
    <row r="88" spans="1:2" x14ac:dyDescent="0.25">
      <c r="A88" s="75" t="s">
        <v>115</v>
      </c>
      <c r="B88" s="76" t="s">
        <v>116</v>
      </c>
    </row>
    <row r="89" spans="1:2" x14ac:dyDescent="0.25">
      <c r="A89" s="77" t="s">
        <v>117</v>
      </c>
      <c r="B89" s="78" t="s">
        <v>118</v>
      </c>
    </row>
    <row r="90" spans="1:2" x14ac:dyDescent="0.25">
      <c r="A90" s="75" t="s">
        <v>119</v>
      </c>
      <c r="B90" s="76" t="s">
        <v>120</v>
      </c>
    </row>
    <row r="91" spans="1:2" x14ac:dyDescent="0.25">
      <c r="A91" s="77" t="s">
        <v>121</v>
      </c>
      <c r="B91" s="78" t="s">
        <v>122</v>
      </c>
    </row>
    <row r="92" spans="1:2" x14ac:dyDescent="0.25">
      <c r="A92" s="75" t="s">
        <v>123</v>
      </c>
      <c r="B92" s="76" t="s">
        <v>124</v>
      </c>
    </row>
    <row r="93" spans="1:2" x14ac:dyDescent="0.25">
      <c r="A93" s="77" t="s">
        <v>125</v>
      </c>
      <c r="B93" s="78" t="s">
        <v>126</v>
      </c>
    </row>
    <row r="94" spans="1:2" x14ac:dyDescent="0.25">
      <c r="A94" s="75" t="s">
        <v>127</v>
      </c>
      <c r="B94" s="76" t="s">
        <v>128</v>
      </c>
    </row>
    <row r="95" spans="1:2" x14ac:dyDescent="0.25">
      <c r="A95" s="77" t="s">
        <v>129</v>
      </c>
      <c r="B95" s="78" t="s">
        <v>130</v>
      </c>
    </row>
    <row r="96" spans="1:2" x14ac:dyDescent="0.25">
      <c r="A96" s="75" t="s">
        <v>131</v>
      </c>
      <c r="B96" s="76" t="s">
        <v>132</v>
      </c>
    </row>
    <row r="97" spans="1:2" x14ac:dyDescent="0.25">
      <c r="A97" s="77" t="s">
        <v>133</v>
      </c>
      <c r="B97" s="78" t="s">
        <v>134</v>
      </c>
    </row>
    <row r="98" spans="1:2" x14ac:dyDescent="0.25">
      <c r="A98" s="75" t="s">
        <v>135</v>
      </c>
      <c r="B98" s="76" t="s">
        <v>136</v>
      </c>
    </row>
    <row r="99" spans="1:2" x14ac:dyDescent="0.25">
      <c r="A99" s="77" t="s">
        <v>137</v>
      </c>
      <c r="B99" s="78" t="s">
        <v>138</v>
      </c>
    </row>
    <row r="100" spans="1:2" x14ac:dyDescent="0.25">
      <c r="A100" s="75" t="s">
        <v>139</v>
      </c>
      <c r="B100" s="76" t="s">
        <v>140</v>
      </c>
    </row>
    <row r="101" spans="1:2" x14ac:dyDescent="0.25">
      <c r="A101" s="77" t="s">
        <v>141</v>
      </c>
      <c r="B101" s="78" t="s">
        <v>142</v>
      </c>
    </row>
    <row r="102" spans="1:2" x14ac:dyDescent="0.25">
      <c r="A102" s="75" t="s">
        <v>143</v>
      </c>
      <c r="B102" s="76" t="s">
        <v>144</v>
      </c>
    </row>
    <row r="103" spans="1:2" x14ac:dyDescent="0.25">
      <c r="A103" s="77" t="s">
        <v>145</v>
      </c>
      <c r="B103" s="78" t="s">
        <v>146</v>
      </c>
    </row>
    <row r="104" spans="1:2" x14ac:dyDescent="0.25">
      <c r="A104" s="75" t="s">
        <v>147</v>
      </c>
      <c r="B104" s="76" t="s">
        <v>148</v>
      </c>
    </row>
    <row r="105" spans="1:2" x14ac:dyDescent="0.25">
      <c r="A105" s="77" t="s">
        <v>149</v>
      </c>
      <c r="B105" s="78" t="s">
        <v>150</v>
      </c>
    </row>
    <row r="106" spans="1:2" x14ac:dyDescent="0.25">
      <c r="A106" s="75" t="s">
        <v>151</v>
      </c>
      <c r="B106" s="76" t="s">
        <v>152</v>
      </c>
    </row>
    <row r="107" spans="1:2" x14ac:dyDescent="0.25">
      <c r="A107" s="77" t="s">
        <v>153</v>
      </c>
      <c r="B107" s="78" t="s">
        <v>154</v>
      </c>
    </row>
    <row r="108" spans="1:2" x14ac:dyDescent="0.25">
      <c r="A108" s="75" t="s">
        <v>155</v>
      </c>
      <c r="B108" s="76" t="s">
        <v>156</v>
      </c>
    </row>
    <row r="109" spans="1:2" x14ac:dyDescent="0.25">
      <c r="A109" s="77" t="s">
        <v>157</v>
      </c>
      <c r="B109" s="78" t="s">
        <v>158</v>
      </c>
    </row>
    <row r="110" spans="1:2" x14ac:dyDescent="0.25">
      <c r="A110" s="75" t="s">
        <v>159</v>
      </c>
      <c r="B110" s="76" t="s">
        <v>160</v>
      </c>
    </row>
    <row r="111" spans="1:2" x14ac:dyDescent="0.25">
      <c r="A111" s="77" t="s">
        <v>161</v>
      </c>
      <c r="B111" s="78" t="s">
        <v>162</v>
      </c>
    </row>
    <row r="112" spans="1:2" x14ac:dyDescent="0.25">
      <c r="A112" s="75" t="s">
        <v>163</v>
      </c>
      <c r="B112" s="76" t="s">
        <v>164</v>
      </c>
    </row>
    <row r="113" spans="1:2" x14ac:dyDescent="0.25">
      <c r="A113" s="77" t="s">
        <v>165</v>
      </c>
      <c r="B113" s="78" t="s">
        <v>166</v>
      </c>
    </row>
    <row r="114" spans="1:2" x14ac:dyDescent="0.25">
      <c r="A114" s="75" t="s">
        <v>167</v>
      </c>
      <c r="B114" s="76" t="s">
        <v>168</v>
      </c>
    </row>
    <row r="115" spans="1:2" x14ac:dyDescent="0.25">
      <c r="A115" s="77" t="s">
        <v>169</v>
      </c>
      <c r="B115" s="78" t="s">
        <v>170</v>
      </c>
    </row>
    <row r="116" spans="1:2" x14ac:dyDescent="0.25">
      <c r="A116" s="75" t="s">
        <v>171</v>
      </c>
      <c r="B116" s="76" t="s">
        <v>172</v>
      </c>
    </row>
    <row r="117" spans="1:2" x14ac:dyDescent="0.25">
      <c r="A117" s="77" t="s">
        <v>173</v>
      </c>
      <c r="B117" s="78" t="s">
        <v>174</v>
      </c>
    </row>
    <row r="118" spans="1:2" x14ac:dyDescent="0.25">
      <c r="A118" s="75" t="s">
        <v>175</v>
      </c>
      <c r="B118" s="76" t="s">
        <v>176</v>
      </c>
    </row>
    <row r="119" spans="1:2" x14ac:dyDescent="0.25">
      <c r="A119" s="77" t="s">
        <v>177</v>
      </c>
      <c r="B119" s="78" t="s">
        <v>178</v>
      </c>
    </row>
    <row r="120" spans="1:2" x14ac:dyDescent="0.25">
      <c r="A120" s="75" t="s">
        <v>179</v>
      </c>
      <c r="B120" s="76" t="s">
        <v>180</v>
      </c>
    </row>
    <row r="121" spans="1:2" x14ac:dyDescent="0.25">
      <c r="A121" s="77" t="s">
        <v>181</v>
      </c>
      <c r="B121" s="78" t="s">
        <v>182</v>
      </c>
    </row>
    <row r="122" spans="1:2" x14ac:dyDescent="0.25">
      <c r="A122" s="75" t="s">
        <v>183</v>
      </c>
      <c r="B122" s="76" t="s">
        <v>184</v>
      </c>
    </row>
    <row r="123" spans="1:2" x14ac:dyDescent="0.25">
      <c r="A123" s="77" t="s">
        <v>185</v>
      </c>
      <c r="B123" s="78" t="s">
        <v>186</v>
      </c>
    </row>
    <row r="124" spans="1:2" x14ac:dyDescent="0.25">
      <c r="A124" s="75" t="s">
        <v>187</v>
      </c>
      <c r="B124" s="76" t="s">
        <v>188</v>
      </c>
    </row>
    <row r="125" spans="1:2" x14ac:dyDescent="0.25">
      <c r="A125" s="77" t="s">
        <v>107</v>
      </c>
      <c r="B125" s="78" t="s">
        <v>108</v>
      </c>
    </row>
    <row r="126" spans="1:2" x14ac:dyDescent="0.25">
      <c r="A126" s="75" t="s">
        <v>109</v>
      </c>
      <c r="B126" s="76" t="s">
        <v>110</v>
      </c>
    </row>
    <row r="127" spans="1:2" x14ac:dyDescent="0.25">
      <c r="A127" s="77" t="s">
        <v>111</v>
      </c>
      <c r="B127" s="78" t="s">
        <v>112</v>
      </c>
    </row>
    <row r="128" spans="1:2" x14ac:dyDescent="0.25">
      <c r="A128" s="75" t="s">
        <v>113</v>
      </c>
      <c r="B128" s="76" t="s">
        <v>114</v>
      </c>
    </row>
    <row r="129" spans="1:2" x14ac:dyDescent="0.25">
      <c r="A129" s="77" t="s">
        <v>115</v>
      </c>
      <c r="B129" s="78" t="s">
        <v>116</v>
      </c>
    </row>
    <row r="130" spans="1:2" x14ac:dyDescent="0.25">
      <c r="A130" s="75" t="s">
        <v>117</v>
      </c>
      <c r="B130" s="76" t="s">
        <v>118</v>
      </c>
    </row>
    <row r="131" spans="1:2" x14ac:dyDescent="0.25">
      <c r="A131" s="77" t="s">
        <v>119</v>
      </c>
      <c r="B131" s="78" t="s">
        <v>120</v>
      </c>
    </row>
    <row r="132" spans="1:2" x14ac:dyDescent="0.25">
      <c r="A132" s="75" t="s">
        <v>121</v>
      </c>
      <c r="B132" s="76" t="s">
        <v>122</v>
      </c>
    </row>
    <row r="133" spans="1:2" x14ac:dyDescent="0.25">
      <c r="A133" s="77" t="s">
        <v>123</v>
      </c>
      <c r="B133" s="78" t="s">
        <v>124</v>
      </c>
    </row>
    <row r="134" spans="1:2" x14ac:dyDescent="0.25">
      <c r="A134" s="75" t="s">
        <v>125</v>
      </c>
      <c r="B134" s="76" t="s">
        <v>126</v>
      </c>
    </row>
    <row r="135" spans="1:2" x14ac:dyDescent="0.25">
      <c r="A135" s="77" t="s">
        <v>127</v>
      </c>
      <c r="B135" s="78" t="s">
        <v>128</v>
      </c>
    </row>
    <row r="136" spans="1:2" x14ac:dyDescent="0.25">
      <c r="A136" s="75" t="s">
        <v>129</v>
      </c>
      <c r="B136" s="76" t="s">
        <v>130</v>
      </c>
    </row>
    <row r="137" spans="1:2" x14ac:dyDescent="0.25">
      <c r="A137" s="77" t="s">
        <v>131</v>
      </c>
      <c r="B137" s="78" t="s">
        <v>132</v>
      </c>
    </row>
    <row r="138" spans="1:2" x14ac:dyDescent="0.25">
      <c r="A138" s="75" t="s">
        <v>133</v>
      </c>
      <c r="B138" s="76" t="s">
        <v>134</v>
      </c>
    </row>
    <row r="139" spans="1:2" x14ac:dyDescent="0.25">
      <c r="A139" s="77" t="s">
        <v>135</v>
      </c>
      <c r="B139" s="78" t="s">
        <v>136</v>
      </c>
    </row>
    <row r="140" spans="1:2" x14ac:dyDescent="0.25">
      <c r="A140" s="75" t="s">
        <v>137</v>
      </c>
      <c r="B140" s="76" t="s">
        <v>138</v>
      </c>
    </row>
    <row r="141" spans="1:2" x14ac:dyDescent="0.25">
      <c r="A141" s="77" t="s">
        <v>139</v>
      </c>
      <c r="B141" s="78" t="s">
        <v>140</v>
      </c>
    </row>
    <row r="142" spans="1:2" x14ac:dyDescent="0.25">
      <c r="A142" s="75" t="s">
        <v>141</v>
      </c>
      <c r="B142" s="76" t="s">
        <v>142</v>
      </c>
    </row>
    <row r="143" spans="1:2" x14ac:dyDescent="0.25">
      <c r="A143" s="77" t="s">
        <v>143</v>
      </c>
      <c r="B143" s="78" t="s">
        <v>144</v>
      </c>
    </row>
    <row r="144" spans="1:2" x14ac:dyDescent="0.25">
      <c r="A144" s="75" t="s">
        <v>145</v>
      </c>
      <c r="B144" s="76" t="s">
        <v>146</v>
      </c>
    </row>
    <row r="145" spans="1:2" x14ac:dyDescent="0.25">
      <c r="A145" s="77" t="s">
        <v>147</v>
      </c>
      <c r="B145" s="78" t="s">
        <v>148</v>
      </c>
    </row>
    <row r="146" spans="1:2" x14ac:dyDescent="0.25">
      <c r="A146" s="75" t="s">
        <v>149</v>
      </c>
      <c r="B146" s="76" t="s">
        <v>150</v>
      </c>
    </row>
    <row r="147" spans="1:2" x14ac:dyDescent="0.25">
      <c r="A147" s="77" t="s">
        <v>151</v>
      </c>
      <c r="B147" s="78" t="s">
        <v>152</v>
      </c>
    </row>
    <row r="148" spans="1:2" x14ac:dyDescent="0.25">
      <c r="A148" s="75" t="s">
        <v>153</v>
      </c>
      <c r="B148" s="76" t="s">
        <v>154</v>
      </c>
    </row>
    <row r="149" spans="1:2" x14ac:dyDescent="0.25">
      <c r="A149" s="77" t="s">
        <v>155</v>
      </c>
      <c r="B149" s="78" t="s">
        <v>156</v>
      </c>
    </row>
    <row r="150" spans="1:2" x14ac:dyDescent="0.25">
      <c r="A150" s="75" t="s">
        <v>157</v>
      </c>
      <c r="B150" s="76" t="s">
        <v>158</v>
      </c>
    </row>
    <row r="151" spans="1:2" x14ac:dyDescent="0.25">
      <c r="A151" s="77" t="s">
        <v>159</v>
      </c>
      <c r="B151" s="78" t="s">
        <v>160</v>
      </c>
    </row>
    <row r="152" spans="1:2" x14ac:dyDescent="0.25">
      <c r="A152" s="75" t="s">
        <v>161</v>
      </c>
      <c r="B152" s="76" t="s">
        <v>162</v>
      </c>
    </row>
    <row r="153" spans="1:2" x14ac:dyDescent="0.25">
      <c r="A153" s="77" t="s">
        <v>163</v>
      </c>
      <c r="B153" s="78" t="s">
        <v>164</v>
      </c>
    </row>
    <row r="154" spans="1:2" x14ac:dyDescent="0.25">
      <c r="A154" s="75" t="s">
        <v>165</v>
      </c>
      <c r="B154" s="76" t="s">
        <v>166</v>
      </c>
    </row>
    <row r="155" spans="1:2" x14ac:dyDescent="0.25">
      <c r="A155" s="77" t="s">
        <v>167</v>
      </c>
      <c r="B155" s="78" t="s">
        <v>168</v>
      </c>
    </row>
    <row r="156" spans="1:2" x14ac:dyDescent="0.25">
      <c r="A156" s="75" t="s">
        <v>169</v>
      </c>
      <c r="B156" s="76" t="s">
        <v>170</v>
      </c>
    </row>
    <row r="157" spans="1:2" x14ac:dyDescent="0.25">
      <c r="A157" s="77" t="s">
        <v>171</v>
      </c>
      <c r="B157" s="78" t="s">
        <v>172</v>
      </c>
    </row>
    <row r="158" spans="1:2" x14ac:dyDescent="0.25">
      <c r="A158" s="75" t="s">
        <v>173</v>
      </c>
      <c r="B158" s="76" t="s">
        <v>174</v>
      </c>
    </row>
    <row r="159" spans="1:2" x14ac:dyDescent="0.25">
      <c r="A159" s="77" t="s">
        <v>175</v>
      </c>
      <c r="B159" s="78" t="s">
        <v>176</v>
      </c>
    </row>
    <row r="160" spans="1:2" x14ac:dyDescent="0.25">
      <c r="A160" s="75" t="s">
        <v>177</v>
      </c>
      <c r="B160" s="76" t="s">
        <v>178</v>
      </c>
    </row>
    <row r="161" spans="1:2" x14ac:dyDescent="0.25">
      <c r="A161" s="77" t="s">
        <v>179</v>
      </c>
      <c r="B161" s="78" t="s">
        <v>180</v>
      </c>
    </row>
    <row r="162" spans="1:2" x14ac:dyDescent="0.25">
      <c r="A162" s="75" t="s">
        <v>181</v>
      </c>
      <c r="B162" s="76" t="s">
        <v>182</v>
      </c>
    </row>
    <row r="163" spans="1:2" x14ac:dyDescent="0.25">
      <c r="A163" s="77" t="s">
        <v>183</v>
      </c>
      <c r="B163" s="78" t="s">
        <v>184</v>
      </c>
    </row>
    <row r="164" spans="1:2" x14ac:dyDescent="0.25">
      <c r="A164" s="75" t="s">
        <v>185</v>
      </c>
      <c r="B164" s="76" t="s">
        <v>186</v>
      </c>
    </row>
    <row r="165" spans="1:2" x14ac:dyDescent="0.25">
      <c r="A165" s="79" t="s">
        <v>187</v>
      </c>
      <c r="B165" s="80" t="s">
        <v>188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7BB1A-0A98-4D8B-A778-86C61ACB37BF}">
  <sheetPr codeName="Hoja8"/>
  <dimension ref="A1:S67"/>
  <sheetViews>
    <sheetView showGridLines="0" zoomScaleNormal="100" zoomScaleSheetLayoutView="100" workbookViewId="0">
      <pane ySplit="1" topLeftCell="A20" activePane="bottomLeft" state="frozen"/>
      <selection pane="bottomLeft" activeCell="A26" sqref="A26:A28"/>
    </sheetView>
  </sheetViews>
  <sheetFormatPr baseColWidth="10" defaultColWidth="9.42578125" defaultRowHeight="15" x14ac:dyDescent="0.25"/>
  <cols>
    <col min="1" max="1" width="5.85546875" customWidth="1"/>
    <col min="2" max="2" width="15.42578125" customWidth="1"/>
    <col min="3" max="3" width="15.5703125" customWidth="1"/>
    <col min="4" max="4" width="16.42578125" customWidth="1"/>
    <col min="5" max="5" width="18.140625" customWidth="1"/>
    <col min="6" max="6" width="14.28515625" customWidth="1"/>
    <col min="7" max="7" width="13" customWidth="1"/>
    <col min="8" max="8" width="11.7109375" customWidth="1"/>
    <col min="9" max="9" width="17.42578125" customWidth="1"/>
    <col min="10" max="10" width="15.42578125" customWidth="1"/>
    <col min="11" max="11" width="2.42578125" customWidth="1"/>
    <col min="19" max="19" width="9.42578125" style="3"/>
  </cols>
  <sheetData>
    <row r="1" spans="1:19" ht="63.6" customHeight="1" thickBot="1" x14ac:dyDescent="0.3">
      <c r="A1" s="1"/>
      <c r="B1" s="2"/>
      <c r="C1" s="2"/>
      <c r="D1" s="199" t="s">
        <v>0</v>
      </c>
      <c r="E1" s="199"/>
      <c r="F1" s="199"/>
      <c r="G1" s="199"/>
      <c r="H1" s="200"/>
      <c r="I1" s="201" t="s">
        <v>1</v>
      </c>
      <c r="J1" s="202"/>
      <c r="S1" s="3">
        <v>1</v>
      </c>
    </row>
    <row r="2" spans="1:19" s="8" customFormat="1" ht="27.95" customHeight="1" x14ac:dyDescent="0.25">
      <c r="A2" s="203" t="s">
        <v>2</v>
      </c>
      <c r="B2" s="204"/>
      <c r="C2" s="205" t="s">
        <v>3</v>
      </c>
      <c r="D2" s="206"/>
      <c r="E2" s="206"/>
      <c r="F2" s="206"/>
      <c r="G2" s="4" t="s">
        <v>4</v>
      </c>
      <c r="H2" s="5">
        <v>45435</v>
      </c>
      <c r="I2" s="6" t="s">
        <v>5</v>
      </c>
      <c r="J2" s="7"/>
      <c r="S2" s="3">
        <v>1</v>
      </c>
    </row>
    <row r="3" spans="1:19" s="8" customFormat="1" ht="27.95" customHeight="1" x14ac:dyDescent="0.25">
      <c r="A3" s="207" t="s">
        <v>6</v>
      </c>
      <c r="B3" s="208"/>
      <c r="C3" s="184" t="s">
        <v>7</v>
      </c>
      <c r="D3" s="185"/>
      <c r="E3" s="185"/>
      <c r="F3" s="185"/>
      <c r="G3" s="9" t="s">
        <v>8</v>
      </c>
      <c r="H3" s="186" t="s">
        <v>9</v>
      </c>
      <c r="I3" s="187"/>
      <c r="J3" s="188"/>
      <c r="S3" s="3">
        <v>1</v>
      </c>
    </row>
    <row r="4" spans="1:19" s="8" customFormat="1" ht="27.95" customHeight="1" x14ac:dyDescent="0.25">
      <c r="A4" s="182" t="s">
        <v>10</v>
      </c>
      <c r="B4" s="183"/>
      <c r="C4" s="184" t="s">
        <v>11</v>
      </c>
      <c r="D4" s="185"/>
      <c r="E4" s="185"/>
      <c r="F4" s="185"/>
      <c r="G4" s="9" t="s">
        <v>12</v>
      </c>
      <c r="H4" s="186" t="s">
        <v>13</v>
      </c>
      <c r="I4" s="187"/>
      <c r="J4" s="188"/>
      <c r="S4" s="3">
        <v>1</v>
      </c>
    </row>
    <row r="5" spans="1:19" s="8" customFormat="1" ht="27.95" customHeight="1" thickBot="1" x14ac:dyDescent="0.3">
      <c r="A5" s="10"/>
      <c r="B5" s="11" t="s">
        <v>14</v>
      </c>
      <c r="C5" s="189" t="s">
        <v>15</v>
      </c>
      <c r="D5" s="190"/>
      <c r="E5" s="190"/>
      <c r="F5" s="191"/>
      <c r="G5" s="12" t="s">
        <v>16</v>
      </c>
      <c r="H5" s="192" t="s">
        <v>17</v>
      </c>
      <c r="I5" s="193"/>
      <c r="J5" s="194"/>
      <c r="S5" s="3">
        <v>1</v>
      </c>
    </row>
    <row r="6" spans="1:19" ht="27" customHeight="1" x14ac:dyDescent="0.25">
      <c r="A6" s="195" t="s">
        <v>18</v>
      </c>
      <c r="B6" s="196"/>
      <c r="C6" s="196"/>
      <c r="D6" s="197"/>
      <c r="E6" s="197"/>
      <c r="F6" s="197"/>
      <c r="G6" s="197"/>
      <c r="H6" s="197"/>
      <c r="I6" s="197"/>
      <c r="J6" s="198"/>
      <c r="S6" s="3">
        <v>1</v>
      </c>
    </row>
    <row r="7" spans="1:19" s="16" customFormat="1" ht="30.75" customHeight="1" x14ac:dyDescent="0.25">
      <c r="A7" s="172" t="s">
        <v>19</v>
      </c>
      <c r="B7" s="173"/>
      <c r="C7" s="174"/>
      <c r="D7" s="13" t="s">
        <v>20</v>
      </c>
      <c r="E7" s="13" t="s">
        <v>5</v>
      </c>
      <c r="F7" s="14" t="s">
        <v>21</v>
      </c>
      <c r="G7" s="15"/>
      <c r="H7" s="175"/>
      <c r="I7" s="175"/>
      <c r="J7" s="176"/>
      <c r="S7" s="3">
        <v>1</v>
      </c>
    </row>
    <row r="8" spans="1:19" s="16" customFormat="1" ht="30.6" customHeight="1" x14ac:dyDescent="0.25">
      <c r="A8" s="17" t="s">
        <v>22</v>
      </c>
      <c r="B8" s="179" t="s">
        <v>23</v>
      </c>
      <c r="C8" s="180"/>
      <c r="D8" s="18"/>
      <c r="E8" s="19"/>
      <c r="F8" s="20">
        <f>(D8/60)*E8</f>
        <v>0</v>
      </c>
      <c r="G8" s="21"/>
      <c r="H8" s="177"/>
      <c r="I8" s="177"/>
      <c r="J8" s="178"/>
      <c r="S8" s="3">
        <v>1</v>
      </c>
    </row>
    <row r="9" spans="1:19" s="16" customFormat="1" ht="36.75" customHeight="1" x14ac:dyDescent="0.25">
      <c r="A9" s="17" t="s">
        <v>24</v>
      </c>
      <c r="B9" s="179" t="s">
        <v>25</v>
      </c>
      <c r="C9" s="180"/>
      <c r="D9" s="18"/>
      <c r="E9" s="19"/>
      <c r="F9" s="20">
        <f>(D9/60)*E9</f>
        <v>0</v>
      </c>
      <c r="G9" s="21"/>
      <c r="H9" s="177"/>
      <c r="I9" s="177"/>
      <c r="J9" s="178"/>
      <c r="S9" s="3">
        <v>1</v>
      </c>
    </row>
    <row r="10" spans="1:19" s="16" customFormat="1" ht="36.75" customHeight="1" x14ac:dyDescent="0.25">
      <c r="A10" s="17" t="s">
        <v>26</v>
      </c>
      <c r="B10" s="179" t="s">
        <v>27</v>
      </c>
      <c r="C10" s="180"/>
      <c r="D10" s="18"/>
      <c r="E10" s="19"/>
      <c r="F10" s="20">
        <f>(D10/60)*E10</f>
        <v>0</v>
      </c>
      <c r="G10" s="21"/>
      <c r="H10" s="177"/>
      <c r="I10" s="177"/>
      <c r="J10" s="178"/>
      <c r="S10" s="3">
        <v>1</v>
      </c>
    </row>
    <row r="11" spans="1:19" s="16" customFormat="1" ht="30" customHeight="1" x14ac:dyDescent="0.25">
      <c r="A11" s="172" t="s">
        <v>28</v>
      </c>
      <c r="B11" s="173"/>
      <c r="C11" s="173"/>
      <c r="D11" s="173"/>
      <c r="E11" s="181"/>
      <c r="F11" s="14" t="s">
        <v>29</v>
      </c>
      <c r="G11" s="22"/>
      <c r="H11" s="177"/>
      <c r="I11" s="177"/>
      <c r="J11" s="178"/>
      <c r="S11" s="3">
        <v>1</v>
      </c>
    </row>
    <row r="12" spans="1:19" s="16" customFormat="1" ht="20.100000000000001" customHeight="1" x14ac:dyDescent="0.25">
      <c r="A12" s="17">
        <v>2.1</v>
      </c>
      <c r="B12" s="153" t="s">
        <v>30</v>
      </c>
      <c r="C12" s="153"/>
      <c r="D12" s="153"/>
      <c r="E12" s="163"/>
      <c r="F12" s="23">
        <v>0</v>
      </c>
      <c r="G12" s="24"/>
      <c r="H12" s="177"/>
      <c r="I12" s="177"/>
      <c r="J12" s="178"/>
      <c r="S12" s="3">
        <v>1</v>
      </c>
    </row>
    <row r="13" spans="1:19" s="16" customFormat="1" ht="20.100000000000001" customHeight="1" x14ac:dyDescent="0.25">
      <c r="A13" s="17">
        <v>2.2000000000000002</v>
      </c>
      <c r="B13" s="25" t="s">
        <v>31</v>
      </c>
      <c r="C13" s="25"/>
      <c r="D13" s="25"/>
      <c r="E13" s="26"/>
      <c r="F13" s="23">
        <v>0</v>
      </c>
      <c r="G13" s="24"/>
      <c r="H13" s="177"/>
      <c r="I13" s="177"/>
      <c r="J13" s="178"/>
      <c r="S13" s="3">
        <v>1</v>
      </c>
    </row>
    <row r="14" spans="1:19" s="16" customFormat="1" ht="20.100000000000001" customHeight="1" x14ac:dyDescent="0.25">
      <c r="A14" s="17">
        <v>2.2999999999999998</v>
      </c>
      <c r="B14" s="25" t="s">
        <v>32</v>
      </c>
      <c r="C14" s="25"/>
      <c r="D14" s="25"/>
      <c r="E14" s="26"/>
      <c r="F14" s="27">
        <v>0</v>
      </c>
      <c r="G14" s="24"/>
      <c r="H14" s="177"/>
      <c r="I14" s="177"/>
      <c r="J14" s="178"/>
      <c r="S14" s="3">
        <v>1</v>
      </c>
    </row>
    <row r="15" spans="1:19" s="16" customFormat="1" ht="20.100000000000001" customHeight="1" x14ac:dyDescent="0.25">
      <c r="A15" s="17">
        <v>2.4</v>
      </c>
      <c r="B15" s="25" t="s">
        <v>33</v>
      </c>
      <c r="C15" s="25"/>
      <c r="D15" s="25"/>
      <c r="E15" s="26"/>
      <c r="F15" s="27">
        <v>0</v>
      </c>
      <c r="G15" s="24"/>
      <c r="H15" s="177"/>
      <c r="I15" s="177"/>
      <c r="J15" s="178"/>
      <c r="S15" s="3">
        <v>1</v>
      </c>
    </row>
    <row r="16" spans="1:19" s="16" customFormat="1" ht="20.100000000000001" customHeight="1" x14ac:dyDescent="0.25">
      <c r="A16" s="17">
        <v>2.5</v>
      </c>
      <c r="B16" s="25" t="s">
        <v>34</v>
      </c>
      <c r="C16" s="25"/>
      <c r="D16" s="25"/>
      <c r="E16" s="26"/>
      <c r="F16" s="27">
        <v>0</v>
      </c>
      <c r="G16" s="24"/>
      <c r="H16" s="177"/>
      <c r="I16" s="177"/>
      <c r="J16" s="178"/>
      <c r="S16" s="3">
        <v>1</v>
      </c>
    </row>
    <row r="17" spans="1:19" s="16" customFormat="1" ht="20.100000000000001" customHeight="1" x14ac:dyDescent="0.25">
      <c r="A17" s="17">
        <v>2.6</v>
      </c>
      <c r="B17" s="25" t="s">
        <v>35</v>
      </c>
      <c r="C17" s="25"/>
      <c r="D17" s="25"/>
      <c r="E17" s="26"/>
      <c r="F17" s="27">
        <v>0</v>
      </c>
      <c r="G17" s="24"/>
      <c r="H17" s="177"/>
      <c r="I17" s="177"/>
      <c r="J17" s="178"/>
      <c r="S17" s="3">
        <v>1</v>
      </c>
    </row>
    <row r="18" spans="1:19" s="16" customFormat="1" ht="20.100000000000001" customHeight="1" x14ac:dyDescent="0.25">
      <c r="A18" s="17">
        <v>2.7</v>
      </c>
      <c r="B18" s="25" t="s">
        <v>36</v>
      </c>
      <c r="C18" s="25"/>
      <c r="D18" s="25"/>
      <c r="E18" s="26"/>
      <c r="F18" s="27">
        <v>0</v>
      </c>
      <c r="G18" s="24"/>
      <c r="H18" s="177"/>
      <c r="I18" s="177"/>
      <c r="J18" s="178"/>
      <c r="S18" s="3">
        <v>1</v>
      </c>
    </row>
    <row r="19" spans="1:19" s="16" customFormat="1" ht="20.100000000000001" customHeight="1" x14ac:dyDescent="0.25">
      <c r="A19" s="17">
        <v>2.8</v>
      </c>
      <c r="B19" s="25" t="s">
        <v>37</v>
      </c>
      <c r="C19" s="25"/>
      <c r="D19" s="25"/>
      <c r="E19" s="26"/>
      <c r="F19" s="27">
        <v>0</v>
      </c>
      <c r="G19" s="24"/>
      <c r="H19" s="177"/>
      <c r="I19" s="177"/>
      <c r="J19" s="178"/>
      <c r="S19" s="3">
        <v>1</v>
      </c>
    </row>
    <row r="20" spans="1:19" s="16" customFormat="1" ht="20.100000000000001" customHeight="1" x14ac:dyDescent="0.25">
      <c r="A20" s="17">
        <v>2.9</v>
      </c>
      <c r="B20" s="25" t="s">
        <v>38</v>
      </c>
      <c r="C20" s="25"/>
      <c r="D20" s="25"/>
      <c r="E20" s="26"/>
      <c r="F20" s="27">
        <v>0</v>
      </c>
      <c r="G20" s="24"/>
      <c r="H20" s="177"/>
      <c r="I20" s="177"/>
      <c r="J20" s="178"/>
      <c r="S20" s="3">
        <v>1</v>
      </c>
    </row>
    <row r="21" spans="1:19" s="16" customFormat="1" ht="20.100000000000001" customHeight="1" x14ac:dyDescent="0.25">
      <c r="A21" s="28" t="s">
        <v>39</v>
      </c>
      <c r="B21" s="25" t="s">
        <v>40</v>
      </c>
      <c r="C21" s="25"/>
      <c r="D21" s="25"/>
      <c r="E21" s="26"/>
      <c r="F21" s="27">
        <v>0</v>
      </c>
      <c r="G21" s="24"/>
      <c r="H21" s="177"/>
      <c r="I21" s="177"/>
      <c r="J21" s="178"/>
      <c r="S21" s="3">
        <v>1</v>
      </c>
    </row>
    <row r="22" spans="1:19" s="16" customFormat="1" ht="20.100000000000001" customHeight="1" x14ac:dyDescent="0.25">
      <c r="A22" s="17">
        <v>2.11</v>
      </c>
      <c r="B22" s="25" t="s">
        <v>41</v>
      </c>
      <c r="C22" s="25"/>
      <c r="D22" s="25"/>
      <c r="E22" s="26"/>
      <c r="F22" s="27">
        <v>0</v>
      </c>
      <c r="G22" s="24"/>
      <c r="H22" s="177"/>
      <c r="I22" s="177"/>
      <c r="J22" s="178"/>
      <c r="S22" s="3">
        <v>1</v>
      </c>
    </row>
    <row r="23" spans="1:19" s="16" customFormat="1" ht="20.100000000000001" customHeight="1" x14ac:dyDescent="0.25">
      <c r="A23" s="17">
        <v>2.12</v>
      </c>
      <c r="B23" s="25" t="s">
        <v>42</v>
      </c>
      <c r="C23" s="25"/>
      <c r="D23" s="25"/>
      <c r="E23" s="26"/>
      <c r="F23" s="27">
        <v>0</v>
      </c>
      <c r="G23" s="24"/>
      <c r="H23" s="177"/>
      <c r="I23" s="177"/>
      <c r="J23" s="178"/>
      <c r="S23" s="3">
        <v>1</v>
      </c>
    </row>
    <row r="24" spans="1:19" s="16" customFormat="1" ht="20.100000000000001" customHeight="1" x14ac:dyDescent="0.25">
      <c r="A24" s="17">
        <v>2.13</v>
      </c>
      <c r="B24" s="25" t="s">
        <v>43</v>
      </c>
      <c r="C24" s="25"/>
      <c r="D24" s="25"/>
      <c r="E24" s="26"/>
      <c r="F24" s="27">
        <v>0</v>
      </c>
      <c r="G24" s="24"/>
      <c r="H24" s="177"/>
      <c r="I24" s="177"/>
      <c r="J24" s="178"/>
      <c r="S24" s="3">
        <v>1</v>
      </c>
    </row>
    <row r="25" spans="1:19" s="16" customFormat="1" ht="25.5" customHeight="1" x14ac:dyDescent="0.25">
      <c r="A25" s="154" t="s">
        <v>44</v>
      </c>
      <c r="B25" s="155"/>
      <c r="C25" s="155"/>
      <c r="D25" s="155"/>
      <c r="E25" s="156"/>
      <c r="F25" s="29">
        <f>SUM(F12:F24)</f>
        <v>0</v>
      </c>
      <c r="G25" s="30"/>
      <c r="H25" s="177"/>
      <c r="I25" s="177"/>
      <c r="J25" s="178"/>
      <c r="S25" s="3">
        <v>1</v>
      </c>
    </row>
    <row r="26" spans="1:19" s="16" customFormat="1" ht="24.75" customHeight="1" x14ac:dyDescent="0.25">
      <c r="A26" s="31" t="s">
        <v>45</v>
      </c>
      <c r="B26" s="169" t="s">
        <v>46</v>
      </c>
      <c r="C26" s="169"/>
      <c r="D26" s="169"/>
      <c r="E26" s="169"/>
      <c r="F26" s="32">
        <v>0</v>
      </c>
      <c r="G26" s="22"/>
      <c r="H26" s="177"/>
      <c r="I26" s="177"/>
      <c r="J26" s="178"/>
      <c r="S26" s="3">
        <v>1</v>
      </c>
    </row>
    <row r="27" spans="1:19" s="16" customFormat="1" ht="25.5" customHeight="1" x14ac:dyDescent="0.25">
      <c r="A27" s="31" t="s">
        <v>47</v>
      </c>
      <c r="B27" s="169" t="s">
        <v>48</v>
      </c>
      <c r="C27" s="169"/>
      <c r="D27" s="169"/>
      <c r="E27" s="169"/>
      <c r="F27" s="32">
        <v>0</v>
      </c>
      <c r="G27" s="33"/>
      <c r="H27" s="177"/>
      <c r="I27" s="177"/>
      <c r="J27" s="178"/>
      <c r="S27" s="3">
        <v>1</v>
      </c>
    </row>
    <row r="28" spans="1:19" s="16" customFormat="1" ht="30.75" customHeight="1" thickBot="1" x14ac:dyDescent="0.3">
      <c r="A28" s="31" t="s">
        <v>49</v>
      </c>
      <c r="B28" s="169" t="s">
        <v>50</v>
      </c>
      <c r="C28" s="169"/>
      <c r="D28" s="169"/>
      <c r="E28" s="169"/>
      <c r="F28" s="34">
        <v>0</v>
      </c>
      <c r="G28" s="22"/>
      <c r="H28" s="177"/>
      <c r="I28" s="177"/>
      <c r="J28" s="178"/>
      <c r="S28" s="3">
        <v>1</v>
      </c>
    </row>
    <row r="29" spans="1:19" ht="35.25" customHeight="1" x14ac:dyDescent="0.25">
      <c r="A29" s="170" t="s">
        <v>51</v>
      </c>
      <c r="B29" s="171"/>
      <c r="C29" s="171"/>
      <c r="D29" s="171"/>
      <c r="E29" s="171"/>
      <c r="F29" s="35" t="s">
        <v>52</v>
      </c>
      <c r="G29" s="167"/>
      <c r="H29" s="167"/>
      <c r="I29" s="167"/>
      <c r="J29" s="168"/>
      <c r="L29" s="16"/>
      <c r="M29" s="16"/>
      <c r="N29" s="16"/>
      <c r="S29" s="3">
        <v>1</v>
      </c>
    </row>
    <row r="30" spans="1:19" ht="36.75" customHeight="1" x14ac:dyDescent="0.25">
      <c r="A30" s="17">
        <v>3.1</v>
      </c>
      <c r="B30" s="153" t="s">
        <v>53</v>
      </c>
      <c r="C30" s="153"/>
      <c r="D30" s="153"/>
      <c r="E30" s="153"/>
      <c r="F30" s="36">
        <v>0</v>
      </c>
      <c r="G30" s="37"/>
      <c r="H30" s="38"/>
      <c r="I30" s="38"/>
      <c r="J30" s="39"/>
      <c r="K30" s="40"/>
      <c r="L30" s="16"/>
      <c r="M30" s="16"/>
      <c r="N30" s="16"/>
      <c r="S30" s="3">
        <v>1</v>
      </c>
    </row>
    <row r="31" spans="1:19" ht="36.75" customHeight="1" thickBot="1" x14ac:dyDescent="0.3">
      <c r="A31" s="41">
        <v>3.2</v>
      </c>
      <c r="B31" s="164" t="s">
        <v>54</v>
      </c>
      <c r="C31" s="164"/>
      <c r="D31" s="164"/>
      <c r="E31" s="164"/>
      <c r="F31" s="42">
        <v>0</v>
      </c>
      <c r="G31" s="43"/>
      <c r="H31" s="44"/>
      <c r="I31" s="44"/>
      <c r="J31" s="45"/>
      <c r="K31" s="40"/>
      <c r="L31" s="16"/>
      <c r="M31" s="16"/>
      <c r="N31" s="16"/>
      <c r="S31" s="3">
        <v>1</v>
      </c>
    </row>
    <row r="32" spans="1:19" ht="45.75" customHeight="1" x14ac:dyDescent="0.25">
      <c r="A32" s="165" t="s">
        <v>55</v>
      </c>
      <c r="B32" s="166"/>
      <c r="C32" s="166"/>
      <c r="D32" s="166"/>
      <c r="E32" s="166"/>
      <c r="F32" s="46" t="s">
        <v>56</v>
      </c>
      <c r="G32" s="167"/>
      <c r="H32" s="167"/>
      <c r="I32" s="167"/>
      <c r="J32" s="168"/>
      <c r="K32" s="40"/>
      <c r="L32" s="16"/>
      <c r="M32" s="16"/>
      <c r="N32" s="16"/>
      <c r="S32" s="3">
        <v>1</v>
      </c>
    </row>
    <row r="33" spans="1:19" ht="28.5" customHeight="1" x14ac:dyDescent="0.25">
      <c r="A33" s="17">
        <v>4.0999999999999996</v>
      </c>
      <c r="B33" s="153" t="s">
        <v>57</v>
      </c>
      <c r="C33" s="153"/>
      <c r="D33" s="153"/>
      <c r="E33" s="153"/>
      <c r="F33" s="36">
        <v>0</v>
      </c>
      <c r="G33" s="47"/>
      <c r="H33" s="48"/>
      <c r="I33" s="48"/>
      <c r="J33" s="49"/>
      <c r="K33" s="40"/>
      <c r="L33" s="16"/>
      <c r="M33" s="16"/>
      <c r="N33" s="16"/>
      <c r="S33" s="3">
        <v>1</v>
      </c>
    </row>
    <row r="34" spans="1:19" ht="30.75" customHeight="1" x14ac:dyDescent="0.25">
      <c r="A34" s="17">
        <v>4.2</v>
      </c>
      <c r="B34" s="153" t="s">
        <v>58</v>
      </c>
      <c r="C34" s="153"/>
      <c r="D34" s="153"/>
      <c r="E34" s="153"/>
      <c r="F34" s="36">
        <v>0</v>
      </c>
      <c r="G34" s="47"/>
      <c r="H34" s="48"/>
      <c r="I34" s="48"/>
      <c r="J34" s="49"/>
      <c r="K34" s="40"/>
      <c r="L34" s="16"/>
      <c r="M34" s="16"/>
      <c r="N34" s="16"/>
      <c r="S34" s="3">
        <v>1</v>
      </c>
    </row>
    <row r="35" spans="1:19" ht="30.75" customHeight="1" thickBot="1" x14ac:dyDescent="0.3">
      <c r="A35" s="41">
        <v>4.3</v>
      </c>
      <c r="B35" s="164" t="s">
        <v>59</v>
      </c>
      <c r="C35" s="164"/>
      <c r="D35" s="164"/>
      <c r="E35" s="164"/>
      <c r="F35" s="42">
        <v>0</v>
      </c>
      <c r="G35" s="50"/>
      <c r="H35" s="44"/>
      <c r="I35" s="44"/>
      <c r="J35" s="45"/>
      <c r="K35" s="40"/>
      <c r="L35" s="16"/>
      <c r="M35" s="16"/>
      <c r="N35" s="16"/>
      <c r="S35" s="3">
        <v>1</v>
      </c>
    </row>
    <row r="36" spans="1:19" ht="31.5" customHeight="1" x14ac:dyDescent="0.25">
      <c r="A36" s="165" t="s">
        <v>60</v>
      </c>
      <c r="B36" s="166"/>
      <c r="C36" s="166"/>
      <c r="D36" s="166"/>
      <c r="E36" s="166"/>
      <c r="F36" s="46" t="s">
        <v>52</v>
      </c>
      <c r="G36" s="167"/>
      <c r="H36" s="167"/>
      <c r="I36" s="167"/>
      <c r="J36" s="168"/>
      <c r="K36" s="40"/>
      <c r="L36" s="16"/>
      <c r="M36" s="16"/>
      <c r="N36" s="16"/>
      <c r="S36" s="3">
        <v>1</v>
      </c>
    </row>
    <row r="37" spans="1:19" ht="20.100000000000001" customHeight="1" x14ac:dyDescent="0.25">
      <c r="A37" s="17">
        <v>5.0999999999999996</v>
      </c>
      <c r="B37" s="153" t="s">
        <v>61</v>
      </c>
      <c r="C37" s="153"/>
      <c r="D37" s="153"/>
      <c r="E37" s="163"/>
      <c r="F37" s="51">
        <v>0</v>
      </c>
      <c r="G37" s="33"/>
      <c r="H37" s="48"/>
      <c r="I37" s="48"/>
      <c r="J37" s="49"/>
      <c r="K37" s="40"/>
      <c r="S37" s="3">
        <v>1</v>
      </c>
    </row>
    <row r="38" spans="1:19" ht="20.100000000000001" customHeight="1" x14ac:dyDescent="0.25">
      <c r="A38" s="17">
        <v>5.2</v>
      </c>
      <c r="B38" s="153" t="s">
        <v>62</v>
      </c>
      <c r="C38" s="153"/>
      <c r="D38" s="153"/>
      <c r="E38" s="163"/>
      <c r="F38" s="52">
        <v>0</v>
      </c>
      <c r="G38" s="33"/>
      <c r="H38" s="48"/>
      <c r="I38" s="48"/>
      <c r="J38" s="49"/>
      <c r="K38" s="40"/>
      <c r="S38" s="3">
        <v>1</v>
      </c>
    </row>
    <row r="39" spans="1:19" ht="20.100000000000001" customHeight="1" x14ac:dyDescent="0.25">
      <c r="A39" s="17">
        <v>5.3</v>
      </c>
      <c r="B39" s="153" t="s">
        <v>63</v>
      </c>
      <c r="C39" s="153"/>
      <c r="D39" s="153"/>
      <c r="E39" s="163"/>
      <c r="F39" s="52">
        <v>0</v>
      </c>
      <c r="G39" s="33"/>
      <c r="H39" s="48"/>
      <c r="I39" s="48"/>
      <c r="J39" s="49"/>
      <c r="K39" s="40"/>
      <c r="S39" s="3">
        <v>1</v>
      </c>
    </row>
    <row r="40" spans="1:19" ht="20.100000000000001" customHeight="1" x14ac:dyDescent="0.25">
      <c r="A40" s="17">
        <v>5.4</v>
      </c>
      <c r="B40" s="153" t="s">
        <v>64</v>
      </c>
      <c r="C40" s="153"/>
      <c r="D40" s="153"/>
      <c r="E40" s="163"/>
      <c r="F40" s="52">
        <v>0</v>
      </c>
      <c r="G40" s="33"/>
      <c r="H40" s="48"/>
      <c r="I40" s="48"/>
      <c r="J40" s="49"/>
      <c r="K40" s="40"/>
      <c r="S40" s="3">
        <v>1</v>
      </c>
    </row>
    <row r="41" spans="1:19" ht="20.100000000000001" customHeight="1" x14ac:dyDescent="0.25">
      <c r="A41" s="17">
        <v>5.5</v>
      </c>
      <c r="B41" s="153" t="s">
        <v>65</v>
      </c>
      <c r="C41" s="153"/>
      <c r="D41" s="153"/>
      <c r="E41" s="163"/>
      <c r="F41" s="52">
        <v>0</v>
      </c>
      <c r="G41" s="33"/>
      <c r="H41" s="48"/>
      <c r="I41" s="48"/>
      <c r="J41" s="49"/>
      <c r="K41" s="40"/>
      <c r="S41" s="3">
        <v>1</v>
      </c>
    </row>
    <row r="42" spans="1:19" ht="20.100000000000001" customHeight="1" x14ac:dyDescent="0.25">
      <c r="A42" s="17">
        <v>5.6</v>
      </c>
      <c r="B42" s="153" t="s">
        <v>66</v>
      </c>
      <c r="C42" s="153"/>
      <c r="D42" s="153"/>
      <c r="E42" s="163"/>
      <c r="F42" s="52">
        <v>0</v>
      </c>
      <c r="G42" s="33"/>
      <c r="H42" s="48"/>
      <c r="I42" s="48"/>
      <c r="J42" s="49"/>
      <c r="K42" s="40"/>
      <c r="S42" s="3">
        <v>1</v>
      </c>
    </row>
    <row r="43" spans="1:19" ht="20.100000000000001" customHeight="1" x14ac:dyDescent="0.25">
      <c r="A43" s="17">
        <v>5.7</v>
      </c>
      <c r="B43" s="153" t="s">
        <v>67</v>
      </c>
      <c r="C43" s="153"/>
      <c r="D43" s="153"/>
      <c r="E43" s="163"/>
      <c r="F43" s="52">
        <v>0</v>
      </c>
      <c r="G43" s="33"/>
      <c r="H43" s="48"/>
      <c r="I43" s="48"/>
      <c r="J43" s="49"/>
      <c r="K43" s="40"/>
      <c r="S43" s="3">
        <v>1</v>
      </c>
    </row>
    <row r="44" spans="1:19" ht="20.100000000000001" customHeight="1" x14ac:dyDescent="0.25">
      <c r="A44" s="17">
        <v>5.8</v>
      </c>
      <c r="B44" s="153" t="s">
        <v>68</v>
      </c>
      <c r="C44" s="153"/>
      <c r="D44" s="153"/>
      <c r="E44" s="163"/>
      <c r="F44" s="52">
        <v>0</v>
      </c>
      <c r="G44" s="33"/>
      <c r="H44" s="48"/>
      <c r="I44" s="48"/>
      <c r="J44" s="49"/>
      <c r="K44" s="40"/>
      <c r="S44" s="3">
        <v>1</v>
      </c>
    </row>
    <row r="45" spans="1:19" ht="20.100000000000001" customHeight="1" x14ac:dyDescent="0.25">
      <c r="A45" s="17">
        <v>5.9</v>
      </c>
      <c r="B45" s="153" t="s">
        <v>69</v>
      </c>
      <c r="C45" s="153"/>
      <c r="D45" s="153"/>
      <c r="E45" s="163"/>
      <c r="F45" s="52">
        <v>0</v>
      </c>
      <c r="G45" s="33"/>
      <c r="H45" s="48"/>
      <c r="I45" s="48"/>
      <c r="J45" s="49"/>
      <c r="K45" s="40"/>
      <c r="S45" s="3">
        <v>1</v>
      </c>
    </row>
    <row r="46" spans="1:19" ht="20.100000000000001" customHeight="1" x14ac:dyDescent="0.25">
      <c r="A46" s="17" t="s">
        <v>70</v>
      </c>
      <c r="B46" s="153" t="s">
        <v>71</v>
      </c>
      <c r="C46" s="153"/>
      <c r="D46" s="153"/>
      <c r="E46" s="163"/>
      <c r="F46" s="52">
        <v>0</v>
      </c>
      <c r="G46" s="33"/>
      <c r="H46" s="48"/>
      <c r="I46" s="48"/>
      <c r="J46" s="49"/>
      <c r="K46" s="40"/>
      <c r="S46" s="3">
        <v>1</v>
      </c>
    </row>
    <row r="47" spans="1:19" ht="20.100000000000001" customHeight="1" x14ac:dyDescent="0.25">
      <c r="A47" s="17" t="s">
        <v>72</v>
      </c>
      <c r="B47" s="153" t="s">
        <v>73</v>
      </c>
      <c r="C47" s="153"/>
      <c r="D47" s="153"/>
      <c r="E47" s="163"/>
      <c r="F47" s="52">
        <v>0</v>
      </c>
      <c r="G47" s="33"/>
      <c r="H47" s="48"/>
      <c r="I47" s="48"/>
      <c r="J47" s="49"/>
      <c r="K47" s="40"/>
      <c r="S47" s="3">
        <v>1</v>
      </c>
    </row>
    <row r="48" spans="1:19" ht="20.100000000000001" customHeight="1" x14ac:dyDescent="0.25">
      <c r="A48" s="17" t="s">
        <v>74</v>
      </c>
      <c r="B48" s="153" t="s">
        <v>75</v>
      </c>
      <c r="C48" s="153"/>
      <c r="D48" s="153"/>
      <c r="E48" s="153"/>
      <c r="F48" s="36">
        <f>SUM(F49:F51)</f>
        <v>0</v>
      </c>
      <c r="G48" s="33"/>
      <c r="H48" s="48"/>
      <c r="I48" s="48"/>
      <c r="J48" s="49"/>
      <c r="K48" s="40"/>
      <c r="S48" s="3">
        <v>1</v>
      </c>
    </row>
    <row r="49" spans="1:19" ht="20.100000000000001" customHeight="1" x14ac:dyDescent="0.25">
      <c r="A49" s="17" t="s">
        <v>76</v>
      </c>
      <c r="B49" s="153" t="s">
        <v>77</v>
      </c>
      <c r="C49" s="153"/>
      <c r="D49" s="153"/>
      <c r="E49" s="153"/>
      <c r="F49" s="53">
        <v>0</v>
      </c>
      <c r="G49" s="33"/>
      <c r="H49" s="48"/>
      <c r="I49" s="48"/>
      <c r="J49" s="49"/>
      <c r="K49" s="40"/>
      <c r="S49" s="3">
        <v>1</v>
      </c>
    </row>
    <row r="50" spans="1:19" ht="20.100000000000001" customHeight="1" x14ac:dyDescent="0.25">
      <c r="A50" s="17" t="s">
        <v>78</v>
      </c>
      <c r="B50" s="153" t="s">
        <v>79</v>
      </c>
      <c r="C50" s="153"/>
      <c r="D50" s="153"/>
      <c r="E50" s="153"/>
      <c r="F50" s="54">
        <v>0</v>
      </c>
      <c r="G50" s="33"/>
      <c r="H50" s="48"/>
      <c r="I50" s="48"/>
      <c r="J50" s="49"/>
      <c r="K50" s="40"/>
      <c r="S50" s="3">
        <v>1</v>
      </c>
    </row>
    <row r="51" spans="1:19" ht="20.100000000000001" customHeight="1" x14ac:dyDescent="0.25">
      <c r="A51" s="17" t="s">
        <v>80</v>
      </c>
      <c r="B51" s="153" t="s">
        <v>81</v>
      </c>
      <c r="C51" s="153"/>
      <c r="D51" s="153"/>
      <c r="E51" s="153"/>
      <c r="F51" s="54">
        <v>0</v>
      </c>
      <c r="G51" s="33"/>
      <c r="H51" s="48"/>
      <c r="I51" s="48"/>
      <c r="J51" s="49"/>
      <c r="K51" s="40"/>
      <c r="S51" s="3">
        <v>1</v>
      </c>
    </row>
    <row r="52" spans="1:19" ht="20.100000000000001" customHeight="1" x14ac:dyDescent="0.25">
      <c r="A52" s="17">
        <v>5.13</v>
      </c>
      <c r="B52" s="153" t="s">
        <v>82</v>
      </c>
      <c r="C52" s="153"/>
      <c r="D52" s="153"/>
      <c r="E52" s="153"/>
      <c r="F52" s="54">
        <v>0</v>
      </c>
      <c r="G52" s="33"/>
      <c r="H52" s="48"/>
      <c r="I52" s="48"/>
      <c r="J52" s="49"/>
      <c r="K52" s="40"/>
      <c r="S52" s="3">
        <v>1</v>
      </c>
    </row>
    <row r="53" spans="1:19" ht="25.5" customHeight="1" thickBot="1" x14ac:dyDescent="0.3">
      <c r="A53" s="154" t="s">
        <v>83</v>
      </c>
      <c r="B53" s="155"/>
      <c r="C53" s="155"/>
      <c r="D53" s="155"/>
      <c r="E53" s="156"/>
      <c r="F53" s="29">
        <f>SUM(F37:F52)-F48</f>
        <v>0</v>
      </c>
      <c r="G53" s="43"/>
      <c r="H53" s="44"/>
      <c r="I53" s="44"/>
      <c r="J53" s="45"/>
      <c r="K53" s="40"/>
      <c r="S53" s="3">
        <v>1</v>
      </c>
    </row>
    <row r="54" spans="1:19" ht="30.75" customHeight="1" x14ac:dyDescent="0.25">
      <c r="A54" s="108" t="s">
        <v>84</v>
      </c>
      <c r="B54" s="109"/>
      <c r="C54" s="109"/>
      <c r="D54" s="109"/>
      <c r="E54" s="109"/>
      <c r="F54" s="109"/>
      <c r="G54" s="109"/>
      <c r="H54" s="109"/>
      <c r="I54" s="109"/>
      <c r="J54" s="121"/>
      <c r="S54" s="3">
        <v>1</v>
      </c>
    </row>
    <row r="55" spans="1:19" s="55" customFormat="1" ht="28.35" customHeight="1" x14ac:dyDescent="0.25">
      <c r="A55" s="157" t="s">
        <v>85</v>
      </c>
      <c r="B55" s="158"/>
      <c r="C55" s="158"/>
      <c r="D55" s="159"/>
      <c r="E55" s="128" t="s">
        <v>86</v>
      </c>
      <c r="F55" s="160"/>
      <c r="G55" s="160"/>
      <c r="H55" s="129"/>
      <c r="I55" s="161" t="s">
        <v>87</v>
      </c>
      <c r="J55" s="162"/>
      <c r="S55" s="3">
        <v>1</v>
      </c>
    </row>
    <row r="56" spans="1:19" s="58" customFormat="1" ht="38.25" x14ac:dyDescent="0.25">
      <c r="A56" s="151" t="s">
        <v>88</v>
      </c>
      <c r="B56" s="152"/>
      <c r="C56" s="152" t="s">
        <v>89</v>
      </c>
      <c r="D56" s="152"/>
      <c r="E56" s="56" t="s">
        <v>90</v>
      </c>
      <c r="F56" s="152" t="s">
        <v>91</v>
      </c>
      <c r="G56" s="152"/>
      <c r="H56" s="152"/>
      <c r="I56" s="19" t="s">
        <v>92</v>
      </c>
      <c r="J56" s="57" t="s">
        <v>93</v>
      </c>
      <c r="S56" s="3">
        <v>1</v>
      </c>
    </row>
    <row r="57" spans="1:19" s="58" customFormat="1" ht="36" customHeight="1" x14ac:dyDescent="0.25">
      <c r="A57" s="144"/>
      <c r="B57" s="145"/>
      <c r="C57" s="146"/>
      <c r="D57" s="145"/>
      <c r="E57" s="59"/>
      <c r="F57" s="147"/>
      <c r="G57" s="147"/>
      <c r="H57" s="147"/>
      <c r="I57" s="60"/>
      <c r="J57" s="61"/>
      <c r="S57" s="3">
        <v>1</v>
      </c>
    </row>
    <row r="58" spans="1:19" s="58" customFormat="1" ht="36" customHeight="1" x14ac:dyDescent="0.25">
      <c r="A58" s="144"/>
      <c r="B58" s="145"/>
      <c r="C58" s="146"/>
      <c r="D58" s="145"/>
      <c r="E58" s="59"/>
      <c r="F58" s="147"/>
      <c r="G58" s="147"/>
      <c r="H58" s="147"/>
      <c r="I58" s="60"/>
      <c r="J58" s="61"/>
      <c r="S58" s="3">
        <v>1</v>
      </c>
    </row>
    <row r="59" spans="1:19" s="58" customFormat="1" ht="36" customHeight="1" thickBot="1" x14ac:dyDescent="0.3">
      <c r="A59" s="144"/>
      <c r="B59" s="145"/>
      <c r="C59" s="148"/>
      <c r="D59" s="149"/>
      <c r="E59" s="62"/>
      <c r="F59" s="150"/>
      <c r="G59" s="150"/>
      <c r="H59" s="150"/>
      <c r="I59" s="63"/>
      <c r="J59" s="64"/>
      <c r="S59" s="3">
        <v>1</v>
      </c>
    </row>
    <row r="60" spans="1:19" ht="27.75" customHeight="1" x14ac:dyDescent="0.25">
      <c r="A60" s="108" t="s">
        <v>94</v>
      </c>
      <c r="B60" s="109"/>
      <c r="C60" s="109"/>
      <c r="D60" s="109"/>
      <c r="E60" s="109"/>
      <c r="F60" s="109"/>
      <c r="G60" s="109"/>
      <c r="H60" s="109"/>
      <c r="I60" s="109"/>
      <c r="J60" s="121"/>
      <c r="S60" s="3">
        <v>1</v>
      </c>
    </row>
    <row r="61" spans="1:19" s="58" customFormat="1" ht="28.15" customHeight="1" x14ac:dyDescent="0.25">
      <c r="A61" s="122" t="s">
        <v>95</v>
      </c>
      <c r="B61" s="123"/>
      <c r="C61" s="124"/>
      <c r="D61" s="19" t="s">
        <v>96</v>
      </c>
      <c r="E61" s="19" t="s">
        <v>97</v>
      </c>
      <c r="F61" s="19" t="s">
        <v>98</v>
      </c>
      <c r="G61" s="128" t="s">
        <v>99</v>
      </c>
      <c r="H61" s="129"/>
      <c r="I61" s="56" t="s">
        <v>100</v>
      </c>
      <c r="J61" s="130"/>
      <c r="S61" s="3">
        <v>1</v>
      </c>
    </row>
    <row r="62" spans="1:19" s="58" customFormat="1" ht="24.95" customHeight="1" x14ac:dyDescent="0.25">
      <c r="A62" s="125"/>
      <c r="B62" s="126"/>
      <c r="C62" s="127"/>
      <c r="D62" s="65">
        <v>0</v>
      </c>
      <c r="E62" s="65">
        <v>0</v>
      </c>
      <c r="F62" s="65">
        <v>0</v>
      </c>
      <c r="G62" s="132">
        <v>0</v>
      </c>
      <c r="H62" s="133"/>
      <c r="I62" s="66">
        <f>SUM(D62:H62)</f>
        <v>0</v>
      </c>
      <c r="J62" s="130"/>
      <c r="S62" s="3">
        <v>1</v>
      </c>
    </row>
    <row r="63" spans="1:19" s="58" customFormat="1" ht="24" customHeight="1" x14ac:dyDescent="0.25">
      <c r="A63" s="134" t="s">
        <v>101</v>
      </c>
      <c r="B63" s="135"/>
      <c r="C63" s="136"/>
      <c r="D63" s="67" t="s">
        <v>102</v>
      </c>
      <c r="E63" s="67" t="s">
        <v>103</v>
      </c>
      <c r="F63" s="68"/>
      <c r="G63" s="140"/>
      <c r="H63" s="141"/>
      <c r="I63" s="68"/>
      <c r="J63" s="130"/>
      <c r="S63" s="3">
        <v>1</v>
      </c>
    </row>
    <row r="64" spans="1:19" s="58" customFormat="1" ht="24.95" customHeight="1" thickBot="1" x14ac:dyDescent="0.3">
      <c r="A64" s="137"/>
      <c r="B64" s="138"/>
      <c r="C64" s="139"/>
      <c r="D64" s="69">
        <v>0</v>
      </c>
      <c r="E64" s="69">
        <v>0</v>
      </c>
      <c r="F64" s="69"/>
      <c r="G64" s="142"/>
      <c r="H64" s="143"/>
      <c r="I64" s="70">
        <f>SUM(D64:H64)</f>
        <v>0</v>
      </c>
      <c r="J64" s="131"/>
      <c r="S64" s="3">
        <v>1</v>
      </c>
    </row>
    <row r="65" spans="1:19" ht="31.5" customHeight="1" x14ac:dyDescent="0.25">
      <c r="A65" s="108" t="s">
        <v>104</v>
      </c>
      <c r="B65" s="109"/>
      <c r="C65" s="109"/>
      <c r="D65" s="71"/>
      <c r="E65" s="71"/>
      <c r="F65" s="71"/>
      <c r="G65" s="71"/>
      <c r="H65" s="71"/>
      <c r="I65" s="71"/>
      <c r="J65" s="72"/>
      <c r="S65" s="3">
        <v>1</v>
      </c>
    </row>
    <row r="66" spans="1:19" ht="133.5" customHeight="1" x14ac:dyDescent="0.25">
      <c r="A66" s="110"/>
      <c r="B66" s="111"/>
      <c r="C66" s="111"/>
      <c r="D66" s="112"/>
      <c r="E66" s="113"/>
      <c r="F66" s="112"/>
      <c r="G66" s="111"/>
      <c r="H66" s="113"/>
      <c r="I66" s="112"/>
      <c r="J66" s="113"/>
      <c r="S66" s="3">
        <v>1</v>
      </c>
    </row>
    <row r="67" spans="1:19" ht="24" customHeight="1" thickBot="1" x14ac:dyDescent="0.3">
      <c r="A67" s="114"/>
      <c r="B67" s="115"/>
      <c r="C67" s="116"/>
      <c r="D67" s="117"/>
      <c r="E67" s="116"/>
      <c r="F67" s="118"/>
      <c r="G67" s="118"/>
      <c r="H67" s="118"/>
      <c r="I67" s="119"/>
      <c r="J67" s="120"/>
      <c r="S67" s="3">
        <v>1</v>
      </c>
    </row>
  </sheetData>
  <mergeCells count="85">
    <mergeCell ref="A6:J6"/>
    <mergeCell ref="D1:H1"/>
    <mergeCell ref="I1:J1"/>
    <mergeCell ref="A2:B2"/>
    <mergeCell ref="C2:F2"/>
    <mergeCell ref="A3:B3"/>
    <mergeCell ref="C3:F3"/>
    <mergeCell ref="H3:J3"/>
    <mergeCell ref="A4:B4"/>
    <mergeCell ref="C4:F4"/>
    <mergeCell ref="H4:J4"/>
    <mergeCell ref="C5:F5"/>
    <mergeCell ref="H5:J5"/>
    <mergeCell ref="A7:C7"/>
    <mergeCell ref="H7:J28"/>
    <mergeCell ref="B8:C8"/>
    <mergeCell ref="B9:C9"/>
    <mergeCell ref="B10:C10"/>
    <mergeCell ref="A11:E11"/>
    <mergeCell ref="B12:E12"/>
    <mergeCell ref="A25:E25"/>
    <mergeCell ref="B26:E26"/>
    <mergeCell ref="B27:E27"/>
    <mergeCell ref="G36:J36"/>
    <mergeCell ref="B37:E37"/>
    <mergeCell ref="B28:E28"/>
    <mergeCell ref="A29:E29"/>
    <mergeCell ref="G29:J29"/>
    <mergeCell ref="B30:E30"/>
    <mergeCell ref="B31:E31"/>
    <mergeCell ref="A32:E32"/>
    <mergeCell ref="G32:J32"/>
    <mergeCell ref="B43:E43"/>
    <mergeCell ref="B33:E33"/>
    <mergeCell ref="B34:E34"/>
    <mergeCell ref="B35:E35"/>
    <mergeCell ref="A36:E36"/>
    <mergeCell ref="B38:E38"/>
    <mergeCell ref="B39:E39"/>
    <mergeCell ref="B40:E40"/>
    <mergeCell ref="B41:E41"/>
    <mergeCell ref="B42:E42"/>
    <mergeCell ref="A55:D55"/>
    <mergeCell ref="E55:H55"/>
    <mergeCell ref="I55:J55"/>
    <mergeCell ref="B44:E44"/>
    <mergeCell ref="B45:E45"/>
    <mergeCell ref="B46:E46"/>
    <mergeCell ref="B47:E47"/>
    <mergeCell ref="B48:E48"/>
    <mergeCell ref="B49:E49"/>
    <mergeCell ref="B50:E50"/>
    <mergeCell ref="B51:E51"/>
    <mergeCell ref="B52:E52"/>
    <mergeCell ref="A53:E53"/>
    <mergeCell ref="A54:J54"/>
    <mergeCell ref="A56:B56"/>
    <mergeCell ref="C56:D56"/>
    <mergeCell ref="F56:H56"/>
    <mergeCell ref="A57:B57"/>
    <mergeCell ref="C57:D57"/>
    <mergeCell ref="F57:H57"/>
    <mergeCell ref="A58:B58"/>
    <mergeCell ref="C58:D58"/>
    <mergeCell ref="F58:H58"/>
    <mergeCell ref="A59:B59"/>
    <mergeCell ref="C59:D59"/>
    <mergeCell ref="F59:H59"/>
    <mergeCell ref="A67:C67"/>
    <mergeCell ref="D67:E67"/>
    <mergeCell ref="F67:H67"/>
    <mergeCell ref="I67:J67"/>
    <mergeCell ref="A60:J60"/>
    <mergeCell ref="A61:C62"/>
    <mergeCell ref="G61:H61"/>
    <mergeCell ref="J61:J64"/>
    <mergeCell ref="G62:H62"/>
    <mergeCell ref="A63:C64"/>
    <mergeCell ref="G63:H63"/>
    <mergeCell ref="G64:H64"/>
    <mergeCell ref="A65:C65"/>
    <mergeCell ref="A66:C66"/>
    <mergeCell ref="D66:E66"/>
    <mergeCell ref="F66:H66"/>
    <mergeCell ref="I66:J66"/>
  </mergeCells>
  <dataValidations count="3">
    <dataValidation type="list" allowBlank="1" showInputMessage="1" showErrorMessage="1" sqref="E57:E59" xr:uid="{3E10C166-2801-4A37-84D0-36E08FCBD9EF}">
      <formula1>"Correctiva,Preventiva"</formula1>
    </dataValidation>
    <dataValidation type="list" allowBlank="1" showInputMessage="1" showErrorMessage="1" sqref="I57:I59" xr:uid="{0D7BD195-EEE0-4EB5-9289-D2F10642927E}">
      <formula1>"Abierta,Cerrada"</formula1>
    </dataValidation>
    <dataValidation type="list" allowBlank="1" showInputMessage="1" showErrorMessage="1" sqref="A57:B59" xr:uid="{F7D04B32-3458-4BBC-BAD8-7DB6517F0344}">
      <formula1>"AV,CI"</formula1>
    </dataValidation>
  </dataValidations>
  <printOptions horizontalCentered="1" verticalCentered="1"/>
  <pageMargins left="0.11811023622047245" right="0.19685039370078741" top="0.15748031496062992" bottom="0.15748031496062992" header="0.31496062992125984" footer="0.31496062992125984"/>
  <pageSetup paperSize="9" scale="60" fitToHeight="2" orientation="portrait" horizontalDpi="360" verticalDpi="360" r:id="rId1"/>
  <rowBreaks count="1" manualBreakCount="1">
    <brk id="35" max="9" man="1"/>
  </rowBreak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FE983-6663-4CE9-A582-177BCCB22845}">
  <sheetPr codeName="Hoja12"/>
  <dimension ref="A1:S79"/>
  <sheetViews>
    <sheetView showGridLines="0" zoomScaleNormal="100" zoomScaleSheetLayoutView="100" workbookViewId="0">
      <pane ySplit="1" topLeftCell="A65" activePane="bottomLeft" state="frozen"/>
      <selection pane="bottomLeft" activeCell="D75" sqref="D75:E75"/>
    </sheetView>
  </sheetViews>
  <sheetFormatPr baseColWidth="10" defaultColWidth="9.42578125" defaultRowHeight="15" x14ac:dyDescent="0.25"/>
  <cols>
    <col min="1" max="1" width="5.85546875" customWidth="1"/>
    <col min="2" max="2" width="11.140625" customWidth="1"/>
    <col min="3" max="3" width="9.42578125" customWidth="1"/>
    <col min="4" max="4" width="10.7109375" customWidth="1"/>
    <col min="5" max="5" width="18.140625" customWidth="1"/>
    <col min="6" max="6" width="15.28515625" customWidth="1"/>
    <col min="7" max="7" width="12.140625" customWidth="1"/>
    <col min="8" max="8" width="22.85546875" customWidth="1"/>
    <col min="9" max="9" width="12.7109375" customWidth="1"/>
    <col min="10" max="10" width="25.140625" customWidth="1"/>
    <col min="11" max="11" width="2.42578125" customWidth="1"/>
    <col min="19" max="19" width="9.42578125" style="3"/>
  </cols>
  <sheetData>
    <row r="1" spans="1:19" ht="63.6" customHeight="1" thickBot="1" x14ac:dyDescent="0.3">
      <c r="A1" s="81"/>
      <c r="B1" s="82"/>
      <c r="C1" s="82"/>
      <c r="D1" s="256" t="s">
        <v>189</v>
      </c>
      <c r="E1" s="256"/>
      <c r="F1" s="256"/>
      <c r="G1" s="256"/>
      <c r="H1" s="257"/>
      <c r="I1" s="258" t="s">
        <v>1</v>
      </c>
      <c r="J1" s="259"/>
    </row>
    <row r="2" spans="1:19" ht="28.35" customHeight="1" x14ac:dyDescent="0.25">
      <c r="A2" s="260" t="s">
        <v>190</v>
      </c>
      <c r="B2" s="261"/>
      <c r="C2" s="261"/>
      <c r="D2" s="262" t="s">
        <v>3</v>
      </c>
      <c r="E2" s="263"/>
      <c r="F2" s="83" t="s">
        <v>191</v>
      </c>
      <c r="G2" s="264">
        <v>45435</v>
      </c>
      <c r="H2" s="265"/>
      <c r="I2" s="84" t="s">
        <v>5</v>
      </c>
      <c r="J2" s="85">
        <v>0</v>
      </c>
      <c r="S2" s="3">
        <v>1</v>
      </c>
    </row>
    <row r="3" spans="1:19" ht="28.35" customHeight="1" x14ac:dyDescent="0.25">
      <c r="A3" s="246" t="s">
        <v>192</v>
      </c>
      <c r="B3" s="247"/>
      <c r="C3" s="247"/>
      <c r="D3" s="266" t="s">
        <v>209</v>
      </c>
      <c r="E3" s="267"/>
      <c r="F3" s="86" t="s">
        <v>193</v>
      </c>
      <c r="G3" s="268"/>
      <c r="H3" s="269"/>
      <c r="I3" s="86" t="s">
        <v>194</v>
      </c>
      <c r="J3" s="87"/>
      <c r="S3" s="3">
        <v>1</v>
      </c>
    </row>
    <row r="4" spans="1:19" ht="24.95" customHeight="1" x14ac:dyDescent="0.25">
      <c r="A4" s="246" t="s">
        <v>195</v>
      </c>
      <c r="B4" s="247"/>
      <c r="C4" s="247"/>
      <c r="D4" s="248" t="s">
        <v>9</v>
      </c>
      <c r="E4" s="248"/>
      <c r="F4" s="249" t="s">
        <v>196</v>
      </c>
      <c r="G4" s="251" t="s">
        <v>17</v>
      </c>
      <c r="H4" s="252"/>
      <c r="I4" s="252"/>
      <c r="J4" s="253"/>
      <c r="S4" s="3">
        <v>1</v>
      </c>
    </row>
    <row r="5" spans="1:19" ht="24.95" customHeight="1" x14ac:dyDescent="0.25">
      <c r="A5" s="246" t="s">
        <v>197</v>
      </c>
      <c r="B5" s="247"/>
      <c r="C5" s="247"/>
      <c r="D5" s="254" t="s">
        <v>210</v>
      </c>
      <c r="E5" s="255"/>
      <c r="F5" s="250"/>
      <c r="G5" s="251" t="s">
        <v>15</v>
      </c>
      <c r="H5" s="252"/>
      <c r="I5" s="252"/>
      <c r="J5" s="253"/>
      <c r="S5" s="3">
        <v>1</v>
      </c>
    </row>
    <row r="6" spans="1:19" ht="42.75" customHeight="1" thickBot="1" x14ac:dyDescent="0.3">
      <c r="A6" s="237" t="s">
        <v>198</v>
      </c>
      <c r="B6" s="238"/>
      <c r="C6" s="238"/>
      <c r="D6" s="239"/>
      <c r="E6" s="240"/>
      <c r="F6" s="240"/>
      <c r="G6" s="240"/>
      <c r="H6" s="240"/>
      <c r="I6" s="240"/>
      <c r="J6" s="241"/>
      <c r="S6" s="3">
        <v>1</v>
      </c>
    </row>
    <row r="7" spans="1:19" ht="26.25" customHeight="1" x14ac:dyDescent="0.25">
      <c r="A7" s="242" t="s">
        <v>199</v>
      </c>
      <c r="B7" s="243"/>
      <c r="C7" s="243"/>
      <c r="D7" s="244"/>
      <c r="E7" s="244"/>
      <c r="F7" s="244"/>
      <c r="G7" s="244"/>
      <c r="H7" s="244"/>
      <c r="I7" s="244"/>
      <c r="J7" s="245"/>
      <c r="S7" s="3">
        <v>1</v>
      </c>
    </row>
    <row r="8" spans="1:19" s="16" customFormat="1" ht="21" customHeight="1" x14ac:dyDescent="0.25">
      <c r="A8" s="230"/>
      <c r="B8" s="230"/>
      <c r="C8" s="230"/>
      <c r="D8" s="231"/>
      <c r="E8" s="231"/>
      <c r="F8" s="230"/>
      <c r="G8" s="230"/>
      <c r="H8" s="230"/>
      <c r="I8" s="230"/>
      <c r="J8" s="88"/>
      <c r="S8" s="3">
        <v>1</v>
      </c>
    </row>
    <row r="9" spans="1:19" s="16" customFormat="1" ht="21" customHeight="1" x14ac:dyDescent="0.25">
      <c r="A9" s="232"/>
      <c r="B9" s="233"/>
      <c r="C9" s="234"/>
      <c r="D9" s="235"/>
      <c r="E9" s="236"/>
      <c r="F9" s="232"/>
      <c r="G9" s="234"/>
      <c r="H9" s="232"/>
      <c r="I9" s="234"/>
      <c r="J9" s="88"/>
      <c r="S9" s="3">
        <v>1</v>
      </c>
    </row>
    <row r="10" spans="1:19" s="16" customFormat="1" ht="21" customHeight="1" x14ac:dyDescent="0.25">
      <c r="A10" s="232"/>
      <c r="B10" s="233"/>
      <c r="C10" s="234"/>
      <c r="D10" s="235"/>
      <c r="E10" s="236"/>
      <c r="F10" s="232"/>
      <c r="G10" s="234"/>
      <c r="H10" s="232"/>
      <c r="I10" s="234"/>
      <c r="J10" s="88"/>
      <c r="S10" s="3">
        <v>1</v>
      </c>
    </row>
    <row r="11" spans="1:19" s="16" customFormat="1" ht="21" customHeight="1" x14ac:dyDescent="0.25">
      <c r="A11" s="232"/>
      <c r="B11" s="233"/>
      <c r="C11" s="234"/>
      <c r="D11" s="235"/>
      <c r="E11" s="236"/>
      <c r="F11" s="232"/>
      <c r="G11" s="234"/>
      <c r="H11" s="232"/>
      <c r="I11" s="234"/>
      <c r="J11" s="88"/>
      <c r="S11" s="3">
        <v>1</v>
      </c>
    </row>
    <row r="12" spans="1:19" s="16" customFormat="1" ht="21" customHeight="1" x14ac:dyDescent="0.25">
      <c r="A12" s="230"/>
      <c r="B12" s="230"/>
      <c r="C12" s="230"/>
      <c r="D12" s="231"/>
      <c r="E12" s="231"/>
      <c r="F12" s="230"/>
      <c r="G12" s="230"/>
      <c r="H12" s="230"/>
      <c r="I12" s="230"/>
      <c r="J12" s="88"/>
      <c r="S12" s="3">
        <v>1</v>
      </c>
    </row>
    <row r="13" spans="1:19" s="16" customFormat="1" ht="21" customHeight="1" x14ac:dyDescent="0.25">
      <c r="A13" s="230"/>
      <c r="B13" s="230"/>
      <c r="C13" s="230"/>
      <c r="D13" s="231"/>
      <c r="E13" s="231"/>
      <c r="F13" s="230"/>
      <c r="G13" s="230"/>
      <c r="H13" s="230"/>
      <c r="I13" s="230"/>
      <c r="J13" s="88"/>
      <c r="S13" s="3">
        <v>1</v>
      </c>
    </row>
    <row r="14" spans="1:19" s="16" customFormat="1" ht="21" customHeight="1" x14ac:dyDescent="0.25">
      <c r="A14" s="230"/>
      <c r="B14" s="230"/>
      <c r="C14" s="230"/>
      <c r="D14" s="231"/>
      <c r="E14" s="231"/>
      <c r="F14" s="230"/>
      <c r="G14" s="230"/>
      <c r="H14" s="230"/>
      <c r="I14" s="230"/>
      <c r="J14" s="88"/>
      <c r="S14" s="3">
        <v>1</v>
      </c>
    </row>
    <row r="15" spans="1:19" s="16" customFormat="1" ht="21" customHeight="1" x14ac:dyDescent="0.25">
      <c r="A15" s="230"/>
      <c r="B15" s="230"/>
      <c r="C15" s="230"/>
      <c r="D15" s="231"/>
      <c r="E15" s="231"/>
      <c r="F15" s="230"/>
      <c r="G15" s="230"/>
      <c r="H15" s="230"/>
      <c r="I15" s="230"/>
      <c r="J15" s="88"/>
      <c r="S15" s="3">
        <v>1</v>
      </c>
    </row>
    <row r="16" spans="1:19" s="16" customFormat="1" ht="21" customHeight="1" x14ac:dyDescent="0.25">
      <c r="A16" s="230"/>
      <c r="B16" s="230"/>
      <c r="C16" s="230"/>
      <c r="D16" s="231"/>
      <c r="E16" s="231"/>
      <c r="F16" s="230"/>
      <c r="G16" s="230"/>
      <c r="H16" s="230"/>
      <c r="I16" s="230"/>
      <c r="J16" s="88"/>
      <c r="S16" s="3">
        <v>1</v>
      </c>
    </row>
    <row r="17" spans="1:19" s="16" customFormat="1" ht="21" customHeight="1" x14ac:dyDescent="0.25">
      <c r="A17" s="230"/>
      <c r="B17" s="230"/>
      <c r="C17" s="230"/>
      <c r="D17" s="231"/>
      <c r="E17" s="231"/>
      <c r="F17" s="230"/>
      <c r="G17" s="230"/>
      <c r="H17" s="230"/>
      <c r="I17" s="230"/>
      <c r="J17" s="88"/>
      <c r="S17" s="3">
        <v>1</v>
      </c>
    </row>
    <row r="18" spans="1:19" ht="27" customHeight="1" x14ac:dyDescent="0.25">
      <c r="A18" s="195" t="s">
        <v>18</v>
      </c>
      <c r="B18" s="196"/>
      <c r="C18" s="196"/>
      <c r="D18" s="197"/>
      <c r="E18" s="197"/>
      <c r="F18" s="197"/>
      <c r="G18" s="197"/>
      <c r="H18" s="197"/>
      <c r="I18" s="197"/>
      <c r="J18" s="198"/>
      <c r="S18" s="3">
        <v>1</v>
      </c>
    </row>
    <row r="19" spans="1:19" s="16" customFormat="1" ht="30.75" customHeight="1" x14ac:dyDescent="0.25">
      <c r="A19" s="172" t="s">
        <v>19</v>
      </c>
      <c r="B19" s="173"/>
      <c r="C19" s="174"/>
      <c r="D19" s="13" t="s">
        <v>20</v>
      </c>
      <c r="E19" s="13" t="s">
        <v>5</v>
      </c>
      <c r="F19" s="14" t="s">
        <v>21</v>
      </c>
      <c r="G19" s="15"/>
      <c r="H19" s="175"/>
      <c r="I19" s="175"/>
      <c r="J19" s="176"/>
      <c r="S19" s="3">
        <v>1</v>
      </c>
    </row>
    <row r="20" spans="1:19" s="16" customFormat="1" ht="30.6" customHeight="1" x14ac:dyDescent="0.25">
      <c r="A20" s="89" t="s">
        <v>22</v>
      </c>
      <c r="B20" s="179" t="s">
        <v>23</v>
      </c>
      <c r="C20" s="180"/>
      <c r="D20" s="90">
        <v>0</v>
      </c>
      <c r="E20" s="91">
        <v>0</v>
      </c>
      <c r="F20" s="92">
        <f>+(D20/60)*E20</f>
        <v>0</v>
      </c>
      <c r="G20" s="21"/>
      <c r="H20" s="177"/>
      <c r="I20" s="177"/>
      <c r="J20" s="178"/>
      <c r="S20" s="3">
        <v>1</v>
      </c>
    </row>
    <row r="21" spans="1:19" s="16" customFormat="1" ht="36.75" customHeight="1" x14ac:dyDescent="0.25">
      <c r="A21" s="89" t="s">
        <v>24</v>
      </c>
      <c r="B21" s="179" t="s">
        <v>25</v>
      </c>
      <c r="C21" s="180"/>
      <c r="D21" s="90">
        <v>0</v>
      </c>
      <c r="E21" s="91">
        <v>0</v>
      </c>
      <c r="F21" s="20">
        <f>(D21/60)*E21</f>
        <v>0</v>
      </c>
      <c r="G21" s="21"/>
      <c r="H21" s="177"/>
      <c r="I21" s="177"/>
      <c r="J21" s="178"/>
      <c r="S21" s="3">
        <v>1</v>
      </c>
    </row>
    <row r="22" spans="1:19" s="16" customFormat="1" ht="36.75" customHeight="1" x14ac:dyDescent="0.25">
      <c r="A22" s="89" t="s">
        <v>26</v>
      </c>
      <c r="B22" s="179" t="s">
        <v>27</v>
      </c>
      <c r="C22" s="180"/>
      <c r="D22" s="18">
        <v>0</v>
      </c>
      <c r="E22" s="19">
        <v>0</v>
      </c>
      <c r="F22" s="20">
        <f>(D22/60)*E22</f>
        <v>0</v>
      </c>
      <c r="G22" s="21"/>
      <c r="H22" s="177"/>
      <c r="I22" s="177"/>
      <c r="J22" s="178"/>
      <c r="S22" s="3">
        <v>1</v>
      </c>
    </row>
    <row r="23" spans="1:19" s="16" customFormat="1" ht="30" customHeight="1" x14ac:dyDescent="0.25">
      <c r="A23" s="172" t="s">
        <v>28</v>
      </c>
      <c r="B23" s="173"/>
      <c r="C23" s="173"/>
      <c r="D23" s="173"/>
      <c r="E23" s="181"/>
      <c r="F23" s="14" t="s">
        <v>29</v>
      </c>
      <c r="G23" s="22"/>
      <c r="H23" s="177"/>
      <c r="I23" s="177"/>
      <c r="J23" s="178"/>
      <c r="S23" s="3">
        <v>1</v>
      </c>
    </row>
    <row r="24" spans="1:19" s="16" customFormat="1" ht="20.100000000000001" customHeight="1" x14ac:dyDescent="0.25">
      <c r="A24" s="17">
        <v>2.1</v>
      </c>
      <c r="B24" s="153" t="s">
        <v>30</v>
      </c>
      <c r="C24" s="153"/>
      <c r="D24" s="153"/>
      <c r="E24" s="163"/>
      <c r="F24" s="93">
        <v>0</v>
      </c>
      <c r="G24" s="24"/>
      <c r="H24" s="177"/>
      <c r="I24" s="177"/>
      <c r="J24" s="178"/>
      <c r="S24" s="3">
        <v>1</v>
      </c>
    </row>
    <row r="25" spans="1:19" s="16" customFormat="1" ht="20.100000000000001" customHeight="1" x14ac:dyDescent="0.25">
      <c r="A25" s="17">
        <v>2.2000000000000002</v>
      </c>
      <c r="B25" s="25" t="s">
        <v>31</v>
      </c>
      <c r="C25" s="25"/>
      <c r="D25" s="25"/>
      <c r="E25" s="26"/>
      <c r="F25" s="93">
        <v>0</v>
      </c>
      <c r="G25" s="24"/>
      <c r="H25" s="177"/>
      <c r="I25" s="177"/>
      <c r="J25" s="178"/>
      <c r="S25" s="3">
        <v>1</v>
      </c>
    </row>
    <row r="26" spans="1:19" s="16" customFormat="1" ht="20.100000000000001" customHeight="1" x14ac:dyDescent="0.25">
      <c r="A26" s="17">
        <v>2.2999999999999998</v>
      </c>
      <c r="B26" s="25" t="s">
        <v>32</v>
      </c>
      <c r="C26" s="25"/>
      <c r="D26" s="25"/>
      <c r="E26" s="26"/>
      <c r="F26" s="94">
        <v>0</v>
      </c>
      <c r="G26" s="24"/>
      <c r="H26" s="177"/>
      <c r="I26" s="177"/>
      <c r="J26" s="178"/>
      <c r="S26" s="3">
        <v>1</v>
      </c>
    </row>
    <row r="27" spans="1:19" s="16" customFormat="1" ht="20.100000000000001" customHeight="1" x14ac:dyDescent="0.25">
      <c r="A27" s="17">
        <v>2.4</v>
      </c>
      <c r="B27" s="25" t="s">
        <v>33</v>
      </c>
      <c r="C27" s="25"/>
      <c r="D27" s="25"/>
      <c r="E27" s="26"/>
      <c r="F27" s="94">
        <v>0</v>
      </c>
      <c r="G27" s="24"/>
      <c r="H27" s="177"/>
      <c r="I27" s="177"/>
      <c r="J27" s="178"/>
      <c r="S27" s="3">
        <v>1</v>
      </c>
    </row>
    <row r="28" spans="1:19" s="16" customFormat="1" ht="20.100000000000001" customHeight="1" x14ac:dyDescent="0.25">
      <c r="A28" s="17">
        <v>2.5</v>
      </c>
      <c r="B28" s="25" t="s">
        <v>34</v>
      </c>
      <c r="C28" s="25"/>
      <c r="D28" s="25"/>
      <c r="E28" s="26"/>
      <c r="F28" s="94">
        <v>0</v>
      </c>
      <c r="G28" s="24"/>
      <c r="H28" s="177"/>
      <c r="I28" s="177"/>
      <c r="J28" s="178"/>
      <c r="S28" s="3">
        <v>1</v>
      </c>
    </row>
    <row r="29" spans="1:19" s="16" customFormat="1" ht="20.100000000000001" customHeight="1" x14ac:dyDescent="0.25">
      <c r="A29" s="17">
        <v>2.6</v>
      </c>
      <c r="B29" s="25" t="s">
        <v>35</v>
      </c>
      <c r="C29" s="25"/>
      <c r="D29" s="25"/>
      <c r="E29" s="26"/>
      <c r="F29" s="94">
        <v>0</v>
      </c>
      <c r="G29" s="24"/>
      <c r="H29" s="177"/>
      <c r="I29" s="177"/>
      <c r="J29" s="178"/>
      <c r="S29" s="3">
        <v>1</v>
      </c>
    </row>
    <row r="30" spans="1:19" s="16" customFormat="1" ht="20.100000000000001" customHeight="1" x14ac:dyDescent="0.25">
      <c r="A30" s="17">
        <v>2.7</v>
      </c>
      <c r="B30" s="25" t="s">
        <v>36</v>
      </c>
      <c r="C30" s="25"/>
      <c r="D30" s="25"/>
      <c r="E30" s="26"/>
      <c r="F30" s="94">
        <v>0</v>
      </c>
      <c r="G30" s="24"/>
      <c r="H30" s="177"/>
      <c r="I30" s="177"/>
      <c r="J30" s="178"/>
      <c r="S30" s="3">
        <v>1</v>
      </c>
    </row>
    <row r="31" spans="1:19" s="16" customFormat="1" ht="20.100000000000001" customHeight="1" x14ac:dyDescent="0.25">
      <c r="A31" s="17">
        <v>2.8</v>
      </c>
      <c r="B31" s="25" t="s">
        <v>37</v>
      </c>
      <c r="C31" s="25"/>
      <c r="D31" s="25"/>
      <c r="E31" s="26"/>
      <c r="F31" s="94">
        <v>0</v>
      </c>
      <c r="G31" s="24"/>
      <c r="H31" s="177"/>
      <c r="I31" s="177"/>
      <c r="J31" s="178"/>
      <c r="S31" s="3">
        <v>1</v>
      </c>
    </row>
    <row r="32" spans="1:19" s="16" customFormat="1" ht="20.100000000000001" customHeight="1" x14ac:dyDescent="0.25">
      <c r="A32" s="17">
        <v>2.9</v>
      </c>
      <c r="B32" s="25" t="s">
        <v>38</v>
      </c>
      <c r="C32" s="25"/>
      <c r="D32" s="25"/>
      <c r="E32" s="26"/>
      <c r="F32" s="94">
        <v>0</v>
      </c>
      <c r="G32" s="24"/>
      <c r="H32" s="177"/>
      <c r="I32" s="177"/>
      <c r="J32" s="178"/>
      <c r="S32" s="3">
        <v>1</v>
      </c>
    </row>
    <row r="33" spans="1:19" s="16" customFormat="1" ht="20.100000000000001" customHeight="1" x14ac:dyDescent="0.25">
      <c r="A33" s="28" t="s">
        <v>39</v>
      </c>
      <c r="B33" s="25" t="s">
        <v>40</v>
      </c>
      <c r="C33" s="25"/>
      <c r="D33" s="25"/>
      <c r="E33" s="26"/>
      <c r="F33" s="94">
        <v>0</v>
      </c>
      <c r="G33" s="24"/>
      <c r="H33" s="177"/>
      <c r="I33" s="177"/>
      <c r="J33" s="178"/>
      <c r="S33" s="3">
        <v>1</v>
      </c>
    </row>
    <row r="34" spans="1:19" s="16" customFormat="1" ht="20.100000000000001" customHeight="1" x14ac:dyDescent="0.25">
      <c r="A34" s="17">
        <v>2.11</v>
      </c>
      <c r="B34" s="25" t="s">
        <v>41</v>
      </c>
      <c r="C34" s="25"/>
      <c r="D34" s="25"/>
      <c r="E34" s="26"/>
      <c r="F34" s="94">
        <v>0</v>
      </c>
      <c r="G34" s="24"/>
      <c r="H34" s="177"/>
      <c r="I34" s="177"/>
      <c r="J34" s="178"/>
      <c r="S34" s="3">
        <v>1</v>
      </c>
    </row>
    <row r="35" spans="1:19" s="16" customFormat="1" ht="20.100000000000001" customHeight="1" x14ac:dyDescent="0.25">
      <c r="A35" s="17">
        <v>2.12</v>
      </c>
      <c r="B35" s="25" t="s">
        <v>42</v>
      </c>
      <c r="C35" s="25"/>
      <c r="D35" s="25"/>
      <c r="E35" s="26"/>
      <c r="F35" s="94">
        <v>0</v>
      </c>
      <c r="G35" s="24"/>
      <c r="H35" s="177"/>
      <c r="I35" s="177"/>
      <c r="J35" s="178"/>
      <c r="S35" s="3">
        <v>1</v>
      </c>
    </row>
    <row r="36" spans="1:19" s="16" customFormat="1" ht="20.100000000000001" customHeight="1" x14ac:dyDescent="0.25">
      <c r="A36" s="17">
        <v>2.13</v>
      </c>
      <c r="B36" s="25" t="s">
        <v>43</v>
      </c>
      <c r="C36" s="25"/>
      <c r="D36" s="25"/>
      <c r="E36" s="26"/>
      <c r="F36" s="94">
        <v>0</v>
      </c>
      <c r="G36" s="24"/>
      <c r="H36" s="177"/>
      <c r="I36" s="177"/>
      <c r="J36" s="178"/>
      <c r="S36" s="3">
        <v>1</v>
      </c>
    </row>
    <row r="37" spans="1:19" s="16" customFormat="1" ht="25.5" customHeight="1" x14ac:dyDescent="0.25">
      <c r="A37" s="225" t="s">
        <v>44</v>
      </c>
      <c r="B37" s="226"/>
      <c r="C37" s="226"/>
      <c r="D37" s="226"/>
      <c r="E37" s="227"/>
      <c r="F37" s="29">
        <f>SUM(F24:F36)</f>
        <v>0</v>
      </c>
      <c r="G37" s="30"/>
      <c r="H37" s="177"/>
      <c r="I37" s="177"/>
      <c r="J37" s="178"/>
      <c r="S37" s="3">
        <v>1</v>
      </c>
    </row>
    <row r="38" spans="1:19" s="16" customFormat="1" ht="24.75" customHeight="1" x14ac:dyDescent="0.25">
      <c r="A38" s="95" t="s">
        <v>45</v>
      </c>
      <c r="B38" s="228" t="s">
        <v>46</v>
      </c>
      <c r="C38" s="228"/>
      <c r="D38" s="228"/>
      <c r="E38" s="228"/>
      <c r="F38" s="96">
        <v>0</v>
      </c>
      <c r="G38" s="22"/>
      <c r="H38" s="177"/>
      <c r="I38" s="177"/>
      <c r="J38" s="178"/>
      <c r="S38" s="3">
        <v>1</v>
      </c>
    </row>
    <row r="39" spans="1:19" s="16" customFormat="1" ht="25.5" customHeight="1" x14ac:dyDescent="0.25">
      <c r="A39" s="97" t="s">
        <v>47</v>
      </c>
      <c r="B39" s="229" t="s">
        <v>48</v>
      </c>
      <c r="C39" s="229"/>
      <c r="D39" s="229"/>
      <c r="E39" s="229"/>
      <c r="F39" s="98">
        <v>0</v>
      </c>
      <c r="G39" s="33"/>
      <c r="H39" s="177"/>
      <c r="I39" s="177"/>
      <c r="J39" s="178"/>
      <c r="S39" s="3">
        <v>1</v>
      </c>
    </row>
    <row r="40" spans="1:19" s="16" customFormat="1" ht="30.75" customHeight="1" thickBot="1" x14ac:dyDescent="0.3">
      <c r="A40" s="97" t="s">
        <v>49</v>
      </c>
      <c r="B40" s="229" t="s">
        <v>50</v>
      </c>
      <c r="C40" s="229"/>
      <c r="D40" s="229"/>
      <c r="E40" s="229"/>
      <c r="F40" s="98">
        <v>0</v>
      </c>
      <c r="G40" s="22"/>
      <c r="H40" s="177"/>
      <c r="I40" s="177"/>
      <c r="J40" s="178"/>
      <c r="S40" s="3">
        <v>1</v>
      </c>
    </row>
    <row r="41" spans="1:19" ht="35.25" customHeight="1" x14ac:dyDescent="0.25">
      <c r="A41" s="170" t="s">
        <v>51</v>
      </c>
      <c r="B41" s="171"/>
      <c r="C41" s="171"/>
      <c r="D41" s="171"/>
      <c r="E41" s="171"/>
      <c r="F41" s="99" t="s">
        <v>52</v>
      </c>
      <c r="G41" s="167"/>
      <c r="H41" s="167"/>
      <c r="I41" s="167"/>
      <c r="J41" s="168"/>
      <c r="L41" s="16"/>
      <c r="M41" s="16"/>
      <c r="N41" s="16"/>
      <c r="S41" s="3">
        <v>1</v>
      </c>
    </row>
    <row r="42" spans="1:19" ht="36.75" customHeight="1" x14ac:dyDescent="0.25">
      <c r="A42" s="100" t="s">
        <v>200</v>
      </c>
      <c r="B42" s="223" t="s">
        <v>201</v>
      </c>
      <c r="C42" s="223"/>
      <c r="D42" s="223"/>
      <c r="E42" s="223"/>
      <c r="F42" s="101">
        <v>0</v>
      </c>
      <c r="G42" s="37"/>
      <c r="H42" s="38"/>
      <c r="I42" s="38"/>
      <c r="J42" s="39"/>
      <c r="K42" s="40"/>
      <c r="L42" s="16"/>
      <c r="M42" s="16"/>
      <c r="N42" s="16"/>
      <c r="S42" s="3">
        <v>1</v>
      </c>
    </row>
    <row r="43" spans="1:19" ht="36.75" customHeight="1" thickBot="1" x14ac:dyDescent="0.3">
      <c r="A43" s="102" t="s">
        <v>202</v>
      </c>
      <c r="B43" s="224" t="s">
        <v>54</v>
      </c>
      <c r="C43" s="224"/>
      <c r="D43" s="224"/>
      <c r="E43" s="224"/>
      <c r="F43" s="103">
        <v>0</v>
      </c>
      <c r="G43" s="43"/>
      <c r="H43" s="44"/>
      <c r="I43" s="44"/>
      <c r="J43" s="45"/>
      <c r="K43" s="40"/>
      <c r="L43" s="16"/>
      <c r="M43" s="16"/>
      <c r="N43" s="16"/>
      <c r="S43" s="3">
        <v>1</v>
      </c>
    </row>
    <row r="44" spans="1:19" ht="37.5" customHeight="1" x14ac:dyDescent="0.25">
      <c r="A44" s="170" t="s">
        <v>55</v>
      </c>
      <c r="B44" s="171"/>
      <c r="C44" s="171"/>
      <c r="D44" s="171"/>
      <c r="E44" s="171"/>
      <c r="F44" s="104" t="s">
        <v>56</v>
      </c>
      <c r="G44" s="167"/>
      <c r="H44" s="167"/>
      <c r="I44" s="167"/>
      <c r="J44" s="168"/>
      <c r="K44" s="40"/>
      <c r="L44" s="16"/>
      <c r="M44" s="16"/>
      <c r="N44" s="16"/>
      <c r="S44" s="3">
        <v>1</v>
      </c>
    </row>
    <row r="45" spans="1:19" ht="28.5" customHeight="1" x14ac:dyDescent="0.25">
      <c r="A45" s="105" t="s">
        <v>203</v>
      </c>
      <c r="B45" s="223" t="s">
        <v>57</v>
      </c>
      <c r="C45" s="223"/>
      <c r="D45" s="223"/>
      <c r="E45" s="223"/>
      <c r="F45" s="106">
        <v>0</v>
      </c>
      <c r="G45" s="47"/>
      <c r="H45" s="48"/>
      <c r="I45" s="48"/>
      <c r="J45" s="49"/>
      <c r="K45" s="40"/>
      <c r="L45" s="16"/>
      <c r="M45" s="16"/>
      <c r="N45" s="16"/>
      <c r="S45" s="3">
        <v>1</v>
      </c>
    </row>
    <row r="46" spans="1:19" ht="30.75" customHeight="1" x14ac:dyDescent="0.25">
      <c r="A46" s="105" t="s">
        <v>204</v>
      </c>
      <c r="B46" s="224" t="s">
        <v>58</v>
      </c>
      <c r="C46" s="224"/>
      <c r="D46" s="224"/>
      <c r="E46" s="224"/>
      <c r="F46" s="106">
        <v>0</v>
      </c>
      <c r="G46" s="47"/>
      <c r="H46" s="48"/>
      <c r="I46" s="48"/>
      <c r="J46" s="49"/>
      <c r="K46" s="40"/>
      <c r="L46" s="16"/>
      <c r="M46" s="16"/>
      <c r="N46" s="16"/>
      <c r="S46" s="3">
        <v>1</v>
      </c>
    </row>
    <row r="47" spans="1:19" ht="30.75" customHeight="1" thickBot="1" x14ac:dyDescent="0.3">
      <c r="A47" s="105" t="s">
        <v>205</v>
      </c>
      <c r="B47" s="224" t="s">
        <v>59</v>
      </c>
      <c r="C47" s="224"/>
      <c r="D47" s="224"/>
      <c r="E47" s="224"/>
      <c r="F47" s="106">
        <v>0</v>
      </c>
      <c r="G47" s="50"/>
      <c r="H47" s="44"/>
      <c r="I47" s="44"/>
      <c r="J47" s="45"/>
      <c r="K47" s="40"/>
      <c r="L47" s="16"/>
      <c r="M47" s="16"/>
      <c r="N47" s="16"/>
      <c r="S47" s="3">
        <v>1</v>
      </c>
    </row>
    <row r="48" spans="1:19" ht="31.5" customHeight="1" x14ac:dyDescent="0.25">
      <c r="A48" s="170" t="s">
        <v>60</v>
      </c>
      <c r="B48" s="171"/>
      <c r="C48" s="171"/>
      <c r="D48" s="171"/>
      <c r="E48" s="171"/>
      <c r="F48" s="104" t="s">
        <v>52</v>
      </c>
      <c r="G48" s="167"/>
      <c r="H48" s="167"/>
      <c r="I48" s="167"/>
      <c r="J48" s="168"/>
      <c r="K48" s="40"/>
      <c r="L48" s="16"/>
      <c r="M48" s="16"/>
      <c r="N48" s="16"/>
      <c r="S48" s="3">
        <v>1</v>
      </c>
    </row>
    <row r="49" spans="1:19" ht="20.100000000000001" customHeight="1" x14ac:dyDescent="0.25">
      <c r="A49" s="17">
        <v>5.0999999999999996</v>
      </c>
      <c r="B49" s="153" t="s">
        <v>61</v>
      </c>
      <c r="C49" s="153"/>
      <c r="D49" s="153"/>
      <c r="E49" s="163"/>
      <c r="F49" s="107">
        <v>0</v>
      </c>
      <c r="G49" s="33"/>
      <c r="H49" s="48"/>
      <c r="I49" s="48"/>
      <c r="J49" s="49"/>
      <c r="K49" s="40"/>
      <c r="S49" s="3">
        <v>1</v>
      </c>
    </row>
    <row r="50" spans="1:19" ht="20.100000000000001" customHeight="1" x14ac:dyDescent="0.25">
      <c r="A50" s="17">
        <v>5.2</v>
      </c>
      <c r="B50" s="153" t="s">
        <v>62</v>
      </c>
      <c r="C50" s="153"/>
      <c r="D50" s="153"/>
      <c r="E50" s="163"/>
      <c r="F50" s="107">
        <v>0</v>
      </c>
      <c r="G50" s="33"/>
      <c r="H50" s="48"/>
      <c r="I50" s="48"/>
      <c r="J50" s="49"/>
      <c r="K50" s="40"/>
      <c r="S50" s="3">
        <v>1</v>
      </c>
    </row>
    <row r="51" spans="1:19" ht="20.100000000000001" customHeight="1" x14ac:dyDescent="0.25">
      <c r="A51" s="17">
        <v>5.3</v>
      </c>
      <c r="B51" s="153" t="s">
        <v>63</v>
      </c>
      <c r="C51" s="153"/>
      <c r="D51" s="153"/>
      <c r="E51" s="163"/>
      <c r="F51" s="107">
        <v>0</v>
      </c>
      <c r="G51" s="33"/>
      <c r="H51" s="48"/>
      <c r="I51" s="48"/>
      <c r="J51" s="49"/>
      <c r="K51" s="40"/>
      <c r="S51" s="3">
        <v>1</v>
      </c>
    </row>
    <row r="52" spans="1:19" ht="20.100000000000001" customHeight="1" x14ac:dyDescent="0.25">
      <c r="A52" s="17">
        <v>5.4</v>
      </c>
      <c r="B52" s="153" t="s">
        <v>64</v>
      </c>
      <c r="C52" s="153"/>
      <c r="D52" s="153"/>
      <c r="E52" s="163"/>
      <c r="F52" s="107">
        <v>0</v>
      </c>
      <c r="G52" s="33"/>
      <c r="H52" s="48"/>
      <c r="I52" s="48"/>
      <c r="J52" s="49"/>
      <c r="K52" s="40"/>
      <c r="S52" s="3">
        <v>1</v>
      </c>
    </row>
    <row r="53" spans="1:19" ht="20.100000000000001" customHeight="1" x14ac:dyDescent="0.25">
      <c r="A53" s="17">
        <v>5.5</v>
      </c>
      <c r="B53" s="153" t="s">
        <v>65</v>
      </c>
      <c r="C53" s="153"/>
      <c r="D53" s="153"/>
      <c r="E53" s="163"/>
      <c r="F53" s="107">
        <v>0</v>
      </c>
      <c r="G53" s="33"/>
      <c r="H53" s="48"/>
      <c r="I53" s="48"/>
      <c r="J53" s="49"/>
      <c r="K53" s="40"/>
      <c r="S53" s="3">
        <v>1</v>
      </c>
    </row>
    <row r="54" spans="1:19" ht="20.100000000000001" customHeight="1" x14ac:dyDescent="0.25">
      <c r="A54" s="17">
        <v>5.6</v>
      </c>
      <c r="B54" s="153" t="s">
        <v>66</v>
      </c>
      <c r="C54" s="153"/>
      <c r="D54" s="153"/>
      <c r="E54" s="163"/>
      <c r="F54" s="107">
        <v>0</v>
      </c>
      <c r="G54" s="33"/>
      <c r="H54" s="48"/>
      <c r="I54" s="48"/>
      <c r="J54" s="49"/>
      <c r="K54" s="40"/>
      <c r="S54" s="3">
        <v>1</v>
      </c>
    </row>
    <row r="55" spans="1:19" ht="20.100000000000001" customHeight="1" x14ac:dyDescent="0.25">
      <c r="A55" s="17">
        <v>5.7</v>
      </c>
      <c r="B55" s="153" t="s">
        <v>67</v>
      </c>
      <c r="C55" s="153"/>
      <c r="D55" s="153"/>
      <c r="E55" s="163"/>
      <c r="F55" s="107">
        <v>0</v>
      </c>
      <c r="G55" s="33"/>
      <c r="H55" s="48"/>
      <c r="I55" s="48"/>
      <c r="J55" s="49"/>
      <c r="K55" s="40"/>
      <c r="S55" s="3">
        <v>1</v>
      </c>
    </row>
    <row r="56" spans="1:19" ht="20.100000000000001" customHeight="1" x14ac:dyDescent="0.25">
      <c r="A56" s="17">
        <v>5.8</v>
      </c>
      <c r="B56" s="153" t="s">
        <v>68</v>
      </c>
      <c r="C56" s="153"/>
      <c r="D56" s="153"/>
      <c r="E56" s="163"/>
      <c r="F56" s="107">
        <v>0</v>
      </c>
      <c r="G56" s="33"/>
      <c r="H56" s="48"/>
      <c r="I56" s="48"/>
      <c r="J56" s="49"/>
      <c r="K56" s="40"/>
      <c r="S56" s="3">
        <v>1</v>
      </c>
    </row>
    <row r="57" spans="1:19" ht="20.100000000000001" customHeight="1" x14ac:dyDescent="0.25">
      <c r="A57" s="17">
        <v>5.9</v>
      </c>
      <c r="B57" s="153" t="s">
        <v>69</v>
      </c>
      <c r="C57" s="153"/>
      <c r="D57" s="153"/>
      <c r="E57" s="163"/>
      <c r="F57" s="107">
        <v>0</v>
      </c>
      <c r="G57" s="33"/>
      <c r="H57" s="48"/>
      <c r="I57" s="48"/>
      <c r="J57" s="49"/>
      <c r="K57" s="40"/>
      <c r="S57" s="3">
        <v>1</v>
      </c>
    </row>
    <row r="58" spans="1:19" ht="20.100000000000001" customHeight="1" x14ac:dyDescent="0.25">
      <c r="A58" s="17" t="s">
        <v>70</v>
      </c>
      <c r="B58" s="153" t="s">
        <v>71</v>
      </c>
      <c r="C58" s="153"/>
      <c r="D58" s="153"/>
      <c r="E58" s="163"/>
      <c r="F58" s="107">
        <v>0</v>
      </c>
      <c r="G58" s="33"/>
      <c r="H58" s="48"/>
      <c r="I58" s="48"/>
      <c r="J58" s="49"/>
      <c r="K58" s="40"/>
      <c r="S58" s="3">
        <v>1</v>
      </c>
    </row>
    <row r="59" spans="1:19" ht="20.100000000000001" customHeight="1" x14ac:dyDescent="0.25">
      <c r="A59" s="17" t="s">
        <v>72</v>
      </c>
      <c r="B59" s="153" t="s">
        <v>73</v>
      </c>
      <c r="C59" s="153"/>
      <c r="D59" s="153"/>
      <c r="E59" s="163"/>
      <c r="F59" s="107">
        <v>0</v>
      </c>
      <c r="G59" s="33"/>
      <c r="H59" s="48"/>
      <c r="I59" s="48"/>
      <c r="J59" s="49"/>
      <c r="K59" s="40"/>
      <c r="S59" s="3">
        <v>1</v>
      </c>
    </row>
    <row r="60" spans="1:19" ht="20.100000000000001" customHeight="1" x14ac:dyDescent="0.25">
      <c r="A60" s="17" t="s">
        <v>74</v>
      </c>
      <c r="B60" s="153" t="s">
        <v>75</v>
      </c>
      <c r="C60" s="153"/>
      <c r="D60" s="153"/>
      <c r="E60" s="153"/>
      <c r="F60" s="36">
        <f>SUM(F61:F63)</f>
        <v>0</v>
      </c>
      <c r="G60" s="33"/>
      <c r="H60" s="48"/>
      <c r="I60" s="48"/>
      <c r="J60" s="49"/>
      <c r="K60" s="40"/>
      <c r="S60" s="3">
        <v>1</v>
      </c>
    </row>
    <row r="61" spans="1:19" ht="20.100000000000001" customHeight="1" x14ac:dyDescent="0.25">
      <c r="A61" s="17" t="s">
        <v>76</v>
      </c>
      <c r="B61" s="153" t="s">
        <v>77</v>
      </c>
      <c r="C61" s="153"/>
      <c r="D61" s="153"/>
      <c r="E61" s="153"/>
      <c r="F61" s="107">
        <v>0</v>
      </c>
      <c r="G61" s="33"/>
      <c r="H61" s="48"/>
      <c r="I61" s="48"/>
      <c r="J61" s="49"/>
      <c r="K61" s="40"/>
      <c r="S61" s="3">
        <v>1</v>
      </c>
    </row>
    <row r="62" spans="1:19" ht="20.100000000000001" customHeight="1" x14ac:dyDescent="0.25">
      <c r="A62" s="17" t="s">
        <v>78</v>
      </c>
      <c r="B62" s="153" t="s">
        <v>79</v>
      </c>
      <c r="C62" s="153"/>
      <c r="D62" s="153"/>
      <c r="E62" s="153"/>
      <c r="F62" s="107">
        <v>0</v>
      </c>
      <c r="G62" s="33"/>
      <c r="H62" s="48"/>
      <c r="I62" s="48"/>
      <c r="J62" s="49"/>
      <c r="K62" s="40"/>
      <c r="S62" s="3">
        <v>1</v>
      </c>
    </row>
    <row r="63" spans="1:19" ht="20.100000000000001" customHeight="1" x14ac:dyDescent="0.25">
      <c r="A63" s="17" t="s">
        <v>80</v>
      </c>
      <c r="B63" s="153" t="s">
        <v>81</v>
      </c>
      <c r="C63" s="153"/>
      <c r="D63" s="153"/>
      <c r="E63" s="153"/>
      <c r="F63" s="107">
        <v>0</v>
      </c>
      <c r="G63" s="33"/>
      <c r="H63" s="48"/>
      <c r="I63" s="48"/>
      <c r="J63" s="49"/>
      <c r="K63" s="40"/>
      <c r="S63" s="3">
        <v>1</v>
      </c>
    </row>
    <row r="64" spans="1:19" ht="20.100000000000001" customHeight="1" x14ac:dyDescent="0.25">
      <c r="A64" s="17">
        <v>5.13</v>
      </c>
      <c r="B64" s="153" t="s">
        <v>82</v>
      </c>
      <c r="C64" s="153"/>
      <c r="D64" s="153"/>
      <c r="E64" s="153"/>
      <c r="F64" s="107">
        <v>0</v>
      </c>
      <c r="G64" s="33"/>
      <c r="H64" s="48"/>
      <c r="I64" s="48"/>
      <c r="J64" s="49"/>
      <c r="K64" s="40"/>
      <c r="S64" s="3">
        <v>1</v>
      </c>
    </row>
    <row r="65" spans="1:19" ht="25.5" customHeight="1" thickBot="1" x14ac:dyDescent="0.3">
      <c r="A65" s="154" t="s">
        <v>83</v>
      </c>
      <c r="B65" s="155"/>
      <c r="C65" s="155"/>
      <c r="D65" s="155"/>
      <c r="E65" s="156"/>
      <c r="F65" s="29">
        <f>SUM(F49:F64)-F60</f>
        <v>0</v>
      </c>
      <c r="G65" s="43"/>
      <c r="H65" s="44"/>
      <c r="I65" s="44"/>
      <c r="J65" s="45"/>
      <c r="K65" s="40"/>
      <c r="S65" s="3">
        <v>1</v>
      </c>
    </row>
    <row r="66" spans="1:19" ht="30.75" customHeight="1" x14ac:dyDescent="0.25">
      <c r="A66" s="108" t="s">
        <v>84</v>
      </c>
      <c r="B66" s="109"/>
      <c r="C66" s="109"/>
      <c r="D66" s="109"/>
      <c r="E66" s="109"/>
      <c r="F66" s="109"/>
      <c r="G66" s="109"/>
      <c r="H66" s="109"/>
      <c r="I66" s="109"/>
      <c r="J66" s="121"/>
      <c r="S66" s="3">
        <v>1</v>
      </c>
    </row>
    <row r="67" spans="1:19" s="55" customFormat="1" ht="28.35" customHeight="1" x14ac:dyDescent="0.25">
      <c r="A67" s="157" t="s">
        <v>85</v>
      </c>
      <c r="B67" s="158"/>
      <c r="C67" s="158"/>
      <c r="D67" s="159"/>
      <c r="E67" s="128" t="s">
        <v>86</v>
      </c>
      <c r="F67" s="160"/>
      <c r="G67" s="160"/>
      <c r="H67" s="129"/>
      <c r="I67" s="161" t="s">
        <v>87</v>
      </c>
      <c r="J67" s="162"/>
      <c r="S67" s="3">
        <v>1</v>
      </c>
    </row>
    <row r="68" spans="1:19" s="58" customFormat="1" ht="25.5" x14ac:dyDescent="0.25">
      <c r="A68" s="151" t="s">
        <v>88</v>
      </c>
      <c r="B68" s="152"/>
      <c r="C68" s="152" t="s">
        <v>89</v>
      </c>
      <c r="D68" s="152"/>
      <c r="E68" s="56" t="s">
        <v>90</v>
      </c>
      <c r="F68" s="152" t="s">
        <v>91</v>
      </c>
      <c r="G68" s="152"/>
      <c r="H68" s="152"/>
      <c r="I68" s="56" t="s">
        <v>206</v>
      </c>
      <c r="J68" s="57" t="s">
        <v>93</v>
      </c>
      <c r="S68" s="3">
        <v>1</v>
      </c>
    </row>
    <row r="69" spans="1:19" s="58" customFormat="1" ht="36" customHeight="1" x14ac:dyDescent="0.25">
      <c r="A69" s="144" t="s">
        <v>207</v>
      </c>
      <c r="B69" s="145"/>
      <c r="C69" s="146"/>
      <c r="D69" s="145"/>
      <c r="E69" s="59" t="s">
        <v>208</v>
      </c>
      <c r="F69" s="147"/>
      <c r="G69" s="147"/>
      <c r="H69" s="147"/>
      <c r="I69" s="60"/>
      <c r="J69" s="61"/>
      <c r="S69" s="3">
        <v>1</v>
      </c>
    </row>
    <row r="70" spans="1:19" s="58" customFormat="1" ht="36" customHeight="1" x14ac:dyDescent="0.25">
      <c r="A70" s="144"/>
      <c r="B70" s="145"/>
      <c r="C70" s="146"/>
      <c r="D70" s="145"/>
      <c r="E70" s="59"/>
      <c r="F70" s="147"/>
      <c r="G70" s="147"/>
      <c r="H70" s="147"/>
      <c r="I70" s="60"/>
      <c r="J70" s="61"/>
      <c r="S70" s="3">
        <v>1</v>
      </c>
    </row>
    <row r="71" spans="1:19" s="58" customFormat="1" ht="36" customHeight="1" thickBot="1" x14ac:dyDescent="0.3">
      <c r="A71" s="144"/>
      <c r="B71" s="145"/>
      <c r="C71" s="148"/>
      <c r="D71" s="149"/>
      <c r="E71" s="59"/>
      <c r="F71" s="150"/>
      <c r="G71" s="150"/>
      <c r="H71" s="150"/>
      <c r="I71" s="63"/>
      <c r="J71" s="64"/>
      <c r="S71" s="3">
        <v>1</v>
      </c>
    </row>
    <row r="72" spans="1:19" ht="27.75" customHeight="1" x14ac:dyDescent="0.25">
      <c r="A72" s="108" t="s">
        <v>94</v>
      </c>
      <c r="B72" s="109"/>
      <c r="C72" s="109"/>
      <c r="D72" s="109"/>
      <c r="E72" s="109"/>
      <c r="F72" s="109"/>
      <c r="G72" s="109"/>
      <c r="H72" s="109"/>
      <c r="I72" s="109"/>
      <c r="J72" s="121"/>
      <c r="S72" s="3">
        <v>1</v>
      </c>
    </row>
    <row r="73" spans="1:19" s="58" customFormat="1" ht="43.5" customHeight="1" x14ac:dyDescent="0.25">
      <c r="A73" s="122" t="s">
        <v>95</v>
      </c>
      <c r="B73" s="123"/>
      <c r="C73" s="124"/>
      <c r="D73" s="56" t="s">
        <v>96</v>
      </c>
      <c r="E73" s="19" t="s">
        <v>97</v>
      </c>
      <c r="F73" s="19" t="s">
        <v>98</v>
      </c>
      <c r="G73" s="128" t="s">
        <v>99</v>
      </c>
      <c r="H73" s="129"/>
      <c r="I73" s="56" t="s">
        <v>100</v>
      </c>
      <c r="J73" s="130"/>
      <c r="S73" s="3">
        <v>1</v>
      </c>
    </row>
    <row r="74" spans="1:19" s="58" customFormat="1" ht="24.95" customHeight="1" x14ac:dyDescent="0.25">
      <c r="A74" s="125"/>
      <c r="B74" s="126"/>
      <c r="C74" s="127"/>
      <c r="D74" s="65">
        <v>0</v>
      </c>
      <c r="E74" s="65">
        <v>0</v>
      </c>
      <c r="F74" s="65">
        <v>0</v>
      </c>
      <c r="G74" s="132">
        <v>0</v>
      </c>
      <c r="H74" s="133"/>
      <c r="I74" s="66">
        <f>SUM(D74:H74)</f>
        <v>0</v>
      </c>
      <c r="J74" s="130"/>
      <c r="S74" s="3">
        <v>1</v>
      </c>
    </row>
    <row r="75" spans="1:19" s="58" customFormat="1" ht="24" customHeight="1" x14ac:dyDescent="0.25">
      <c r="A75" s="134" t="s">
        <v>101</v>
      </c>
      <c r="B75" s="135"/>
      <c r="C75" s="136"/>
      <c r="D75" s="67" t="s">
        <v>102</v>
      </c>
      <c r="E75" s="67" t="s">
        <v>103</v>
      </c>
      <c r="F75" s="68"/>
      <c r="G75" s="140"/>
      <c r="H75" s="141"/>
      <c r="I75" s="68"/>
      <c r="J75" s="130"/>
      <c r="S75" s="3">
        <v>1</v>
      </c>
    </row>
    <row r="76" spans="1:19" s="58" customFormat="1" ht="24.95" customHeight="1" thickBot="1" x14ac:dyDescent="0.3">
      <c r="A76" s="137"/>
      <c r="B76" s="138"/>
      <c r="C76" s="139"/>
      <c r="D76" s="69">
        <v>0</v>
      </c>
      <c r="E76" s="69">
        <v>0</v>
      </c>
      <c r="F76" s="69"/>
      <c r="G76" s="142"/>
      <c r="H76" s="143"/>
      <c r="I76" s="70">
        <f>SUM(D76:H76)</f>
        <v>0</v>
      </c>
      <c r="J76" s="131"/>
      <c r="S76" s="3">
        <v>1</v>
      </c>
    </row>
    <row r="77" spans="1:19" ht="30" customHeight="1" thickBot="1" x14ac:dyDescent="0.3">
      <c r="A77" s="209" t="s">
        <v>104</v>
      </c>
      <c r="B77" s="210"/>
      <c r="C77" s="210"/>
      <c r="D77" s="210"/>
      <c r="E77" s="210"/>
      <c r="F77" s="210"/>
      <c r="G77" s="210"/>
      <c r="H77" s="210"/>
      <c r="I77" s="210"/>
      <c r="J77" s="211"/>
      <c r="S77" s="3">
        <v>1</v>
      </c>
    </row>
    <row r="78" spans="1:19" ht="152.25" customHeight="1" x14ac:dyDescent="0.25">
      <c r="A78" s="212"/>
      <c r="B78" s="213"/>
      <c r="C78" s="213"/>
      <c r="D78" s="214"/>
      <c r="E78" s="214"/>
      <c r="F78" s="214"/>
      <c r="G78" s="215"/>
      <c r="H78" s="213"/>
      <c r="I78" s="216"/>
      <c r="J78" s="217"/>
      <c r="S78" s="3">
        <v>1</v>
      </c>
    </row>
    <row r="79" spans="1:19" ht="24" customHeight="1" thickBot="1" x14ac:dyDescent="0.3">
      <c r="A79" s="114"/>
      <c r="B79" s="115"/>
      <c r="C79" s="115"/>
      <c r="D79" s="116"/>
      <c r="E79" s="218"/>
      <c r="F79" s="219"/>
      <c r="G79" s="218"/>
      <c r="H79" s="220"/>
      <c r="I79" s="221"/>
      <c r="J79" s="222"/>
      <c r="S79" s="3">
        <v>1</v>
      </c>
    </row>
  </sheetData>
  <mergeCells count="131">
    <mergeCell ref="A4:C4"/>
    <mergeCell ref="D4:E4"/>
    <mergeCell ref="F4:F5"/>
    <mergeCell ref="G4:J4"/>
    <mergeCell ref="A5:C5"/>
    <mergeCell ref="D5:E5"/>
    <mergeCell ref="G5:J5"/>
    <mergeCell ref="D1:H1"/>
    <mergeCell ref="I1:J1"/>
    <mergeCell ref="A2:C2"/>
    <mergeCell ref="D2:E2"/>
    <mergeCell ref="G2:H2"/>
    <mergeCell ref="A3:C3"/>
    <mergeCell ref="D3:E3"/>
    <mergeCell ref="G3:H3"/>
    <mergeCell ref="A9:C9"/>
    <mergeCell ref="D9:E9"/>
    <mergeCell ref="F9:G9"/>
    <mergeCell ref="H9:I9"/>
    <mergeCell ref="A10:C10"/>
    <mergeCell ref="D10:E10"/>
    <mergeCell ref="F10:G10"/>
    <mergeCell ref="H10:I10"/>
    <mergeCell ref="A6:C6"/>
    <mergeCell ref="D6:J6"/>
    <mergeCell ref="A7:J7"/>
    <mergeCell ref="A8:C8"/>
    <mergeCell ref="D8:E8"/>
    <mergeCell ref="F8:G8"/>
    <mergeCell ref="H8:I8"/>
    <mergeCell ref="A13:C13"/>
    <mergeCell ref="D13:E13"/>
    <mergeCell ref="F13:G13"/>
    <mergeCell ref="H13:I13"/>
    <mergeCell ref="A14:C14"/>
    <mergeCell ref="D14:E14"/>
    <mergeCell ref="F14:G14"/>
    <mergeCell ref="H14:I14"/>
    <mergeCell ref="A11:C11"/>
    <mergeCell ref="D11:E11"/>
    <mergeCell ref="F11:G11"/>
    <mergeCell ref="H11:I11"/>
    <mergeCell ref="A12:C12"/>
    <mergeCell ref="D12:E12"/>
    <mergeCell ref="F12:G12"/>
    <mergeCell ref="H12:I12"/>
    <mergeCell ref="H17:I17"/>
    <mergeCell ref="A18:J18"/>
    <mergeCell ref="A19:C19"/>
    <mergeCell ref="H19:J40"/>
    <mergeCell ref="B20:C20"/>
    <mergeCell ref="B21:C21"/>
    <mergeCell ref="B22:C22"/>
    <mergeCell ref="A15:C15"/>
    <mergeCell ref="D15:E15"/>
    <mergeCell ref="F15:G15"/>
    <mergeCell ref="H15:I15"/>
    <mergeCell ref="A16:C16"/>
    <mergeCell ref="D16:E16"/>
    <mergeCell ref="F16:G16"/>
    <mergeCell ref="H16:I16"/>
    <mergeCell ref="A23:E23"/>
    <mergeCell ref="B24:E24"/>
    <mergeCell ref="A37:E37"/>
    <mergeCell ref="B38:E38"/>
    <mergeCell ref="B39:E39"/>
    <mergeCell ref="B40:E40"/>
    <mergeCell ref="A17:C17"/>
    <mergeCell ref="D17:E17"/>
    <mergeCell ref="F17:G17"/>
    <mergeCell ref="B45:E45"/>
    <mergeCell ref="B46:E46"/>
    <mergeCell ref="B47:E47"/>
    <mergeCell ref="A48:E48"/>
    <mergeCell ref="G48:J48"/>
    <mergeCell ref="B49:E49"/>
    <mergeCell ref="A41:E41"/>
    <mergeCell ref="G41:J41"/>
    <mergeCell ref="B42:E42"/>
    <mergeCell ref="B43:E43"/>
    <mergeCell ref="A44:E44"/>
    <mergeCell ref="G44:J44"/>
    <mergeCell ref="B56:E56"/>
    <mergeCell ref="B57:E57"/>
    <mergeCell ref="B58:E58"/>
    <mergeCell ref="B59:E59"/>
    <mergeCell ref="B60:E60"/>
    <mergeCell ref="B61:E61"/>
    <mergeCell ref="B50:E50"/>
    <mergeCell ref="B51:E51"/>
    <mergeCell ref="B52:E52"/>
    <mergeCell ref="B53:E53"/>
    <mergeCell ref="B54:E54"/>
    <mergeCell ref="B55:E55"/>
    <mergeCell ref="A68:B68"/>
    <mergeCell ref="C68:D68"/>
    <mergeCell ref="F68:H68"/>
    <mergeCell ref="A69:B69"/>
    <mergeCell ref="C69:D69"/>
    <mergeCell ref="F69:H69"/>
    <mergeCell ref="B62:E62"/>
    <mergeCell ref="B63:E63"/>
    <mergeCell ref="B64:E64"/>
    <mergeCell ref="A65:E65"/>
    <mergeCell ref="A66:J66"/>
    <mergeCell ref="A67:D67"/>
    <mergeCell ref="E67:H67"/>
    <mergeCell ref="I67:J67"/>
    <mergeCell ref="A72:J72"/>
    <mergeCell ref="A73:C74"/>
    <mergeCell ref="G73:H73"/>
    <mergeCell ref="J73:J76"/>
    <mergeCell ref="G74:H74"/>
    <mergeCell ref="A75:C76"/>
    <mergeCell ref="G75:H75"/>
    <mergeCell ref="G76:H76"/>
    <mergeCell ref="A70:B70"/>
    <mergeCell ref="C70:D70"/>
    <mergeCell ref="F70:H70"/>
    <mergeCell ref="A71:B71"/>
    <mergeCell ref="C71:D71"/>
    <mergeCell ref="F71:H71"/>
    <mergeCell ref="A77:J77"/>
    <mergeCell ref="A78:D78"/>
    <mergeCell ref="E78:F78"/>
    <mergeCell ref="G78:H78"/>
    <mergeCell ref="I78:J78"/>
    <mergeCell ref="A79:D79"/>
    <mergeCell ref="E79:F79"/>
    <mergeCell ref="G79:H79"/>
    <mergeCell ref="I79:J79"/>
  </mergeCells>
  <dataValidations count="3">
    <dataValidation type="list" allowBlank="1" showInputMessage="1" showErrorMessage="1" sqref="I69:I71" xr:uid="{AAC7E7B4-DD05-4BBB-A285-FCCEC7EA7F10}">
      <formula1>"Abierta,Cerrada"</formula1>
    </dataValidation>
    <dataValidation type="list" allowBlank="1" showInputMessage="1" showErrorMessage="1" sqref="A69:B71" xr:uid="{725D85E6-203B-4947-B115-7D2AD1CD99FA}">
      <formula1>"AV,CI"</formula1>
    </dataValidation>
    <dataValidation type="list" allowBlank="1" showInputMessage="1" showErrorMessage="1" sqref="E69:E71" xr:uid="{6203C22D-620C-4D5B-9E4F-FD7DA972ED22}">
      <formula1>"Correctiva,Preventiva, Mejora"</formula1>
    </dataValidation>
  </dataValidations>
  <printOptions horizontalCentered="1" verticalCentered="1"/>
  <pageMargins left="0.11811023622047245" right="0.19685039370078741" top="0.15748031496062992" bottom="0.15748031496062992" header="0.31496062992125984" footer="0.31496062992125984"/>
  <pageSetup paperSize="9" scale="60" fitToHeight="2" orientation="portrait" horizontalDpi="360" verticalDpi="360" r:id="rId1"/>
  <rowBreaks count="1" manualBreakCount="1">
    <brk id="40" max="9"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40393C4E-994D-458E-981D-CFA43D86A5ED}">
          <x14:formula1>
            <xm:f>Trabajadores!$B$2:$B$165</xm:f>
          </x14:formula1>
          <xm:sqref>A8 D8 F8 H8 J8 A9 D9 F9 H9 J9 A10 D10 F10 H10 J10 A11 D11 F11 H11 J11 A12 D12 F12 H12 J12 A13 D13 F13 H13 J13 A14 D14 F14 H14 J14 A15 D15 F15 H15 J15 A16 D16 F16 H16 J16 A17 D17 F17 H17 J17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7D2FE-10AB-498B-A8D2-6F9981DD3AC2}">
  <sheetPr codeName="Hoja14"/>
  <dimension ref="A1:S79"/>
  <sheetViews>
    <sheetView showGridLines="0" zoomScaleNormal="100" zoomScaleSheetLayoutView="100" workbookViewId="0">
      <pane ySplit="1" topLeftCell="A65" activePane="bottomLeft" state="frozen"/>
      <selection pane="bottomLeft" activeCell="D75" sqref="D75:E75"/>
    </sheetView>
  </sheetViews>
  <sheetFormatPr baseColWidth="10" defaultColWidth="9.42578125" defaultRowHeight="15" x14ac:dyDescent="0.25"/>
  <cols>
    <col min="1" max="1" width="5.85546875" customWidth="1"/>
    <col min="2" max="2" width="11.140625" customWidth="1"/>
    <col min="3" max="3" width="9.42578125" customWidth="1"/>
    <col min="4" max="4" width="10.7109375" customWidth="1"/>
    <col min="5" max="5" width="18.140625" customWidth="1"/>
    <col min="6" max="6" width="15.28515625" customWidth="1"/>
    <col min="7" max="7" width="12.140625" customWidth="1"/>
    <col min="8" max="8" width="22.85546875" customWidth="1"/>
    <col min="9" max="9" width="12.7109375" customWidth="1"/>
    <col min="10" max="10" width="25.140625" customWidth="1"/>
    <col min="11" max="11" width="2.42578125" customWidth="1"/>
    <col min="19" max="19" width="9.42578125" style="3"/>
  </cols>
  <sheetData>
    <row r="1" spans="1:19" ht="63.6" customHeight="1" thickBot="1" x14ac:dyDescent="0.3">
      <c r="A1" s="81"/>
      <c r="B1" s="82"/>
      <c r="C1" s="82"/>
      <c r="D1" s="256" t="s">
        <v>189</v>
      </c>
      <c r="E1" s="256"/>
      <c r="F1" s="256"/>
      <c r="G1" s="256"/>
      <c r="H1" s="257"/>
      <c r="I1" s="258" t="s">
        <v>1</v>
      </c>
      <c r="J1" s="259"/>
    </row>
    <row r="2" spans="1:19" ht="28.35" customHeight="1" x14ac:dyDescent="0.25">
      <c r="A2" s="260" t="s">
        <v>190</v>
      </c>
      <c r="B2" s="261"/>
      <c r="C2" s="261"/>
      <c r="D2" s="262" t="s">
        <v>3</v>
      </c>
      <c r="E2" s="263"/>
      <c r="F2" s="83" t="s">
        <v>191</v>
      </c>
      <c r="G2" s="264">
        <v>45435</v>
      </c>
      <c r="H2" s="265"/>
      <c r="I2" s="84" t="s">
        <v>5</v>
      </c>
      <c r="J2" s="85">
        <v>0</v>
      </c>
      <c r="S2" s="3">
        <v>1</v>
      </c>
    </row>
    <row r="3" spans="1:19" ht="28.35" customHeight="1" x14ac:dyDescent="0.25">
      <c r="A3" s="246" t="s">
        <v>192</v>
      </c>
      <c r="B3" s="247"/>
      <c r="C3" s="247"/>
      <c r="D3" s="266" t="s">
        <v>209</v>
      </c>
      <c r="E3" s="267"/>
      <c r="F3" s="86" t="s">
        <v>193</v>
      </c>
      <c r="G3" s="268"/>
      <c r="H3" s="269"/>
      <c r="I3" s="86" t="s">
        <v>194</v>
      </c>
      <c r="J3" s="87"/>
      <c r="S3" s="3">
        <v>1</v>
      </c>
    </row>
    <row r="4" spans="1:19" ht="24.95" customHeight="1" x14ac:dyDescent="0.25">
      <c r="A4" s="246" t="s">
        <v>195</v>
      </c>
      <c r="B4" s="247"/>
      <c r="C4" s="247"/>
      <c r="D4" s="248" t="s">
        <v>9</v>
      </c>
      <c r="E4" s="248"/>
      <c r="F4" s="249" t="s">
        <v>196</v>
      </c>
      <c r="G4" s="251" t="s">
        <v>17</v>
      </c>
      <c r="H4" s="252"/>
      <c r="I4" s="252"/>
      <c r="J4" s="253"/>
      <c r="S4" s="3">
        <v>1</v>
      </c>
    </row>
    <row r="5" spans="1:19" ht="24.95" customHeight="1" x14ac:dyDescent="0.25">
      <c r="A5" s="246" t="s">
        <v>197</v>
      </c>
      <c r="B5" s="247"/>
      <c r="C5" s="247"/>
      <c r="D5" s="254" t="s">
        <v>210</v>
      </c>
      <c r="E5" s="255"/>
      <c r="F5" s="250"/>
      <c r="G5" s="251" t="s">
        <v>15</v>
      </c>
      <c r="H5" s="252"/>
      <c r="I5" s="252"/>
      <c r="J5" s="253"/>
      <c r="S5" s="3">
        <v>1</v>
      </c>
    </row>
    <row r="6" spans="1:19" ht="42.75" customHeight="1" thickBot="1" x14ac:dyDescent="0.3">
      <c r="A6" s="237" t="s">
        <v>198</v>
      </c>
      <c r="B6" s="238"/>
      <c r="C6" s="238"/>
      <c r="D6" s="239"/>
      <c r="E6" s="240"/>
      <c r="F6" s="240"/>
      <c r="G6" s="240"/>
      <c r="H6" s="240"/>
      <c r="I6" s="240"/>
      <c r="J6" s="241"/>
      <c r="S6" s="3">
        <v>1</v>
      </c>
    </row>
    <row r="7" spans="1:19" ht="26.25" customHeight="1" x14ac:dyDescent="0.25">
      <c r="A7" s="242" t="s">
        <v>199</v>
      </c>
      <c r="B7" s="243"/>
      <c r="C7" s="243"/>
      <c r="D7" s="244"/>
      <c r="E7" s="244"/>
      <c r="F7" s="244"/>
      <c r="G7" s="244"/>
      <c r="H7" s="244"/>
      <c r="I7" s="244"/>
      <c r="J7" s="245"/>
      <c r="S7" s="3">
        <v>1</v>
      </c>
    </row>
    <row r="8" spans="1:19" s="16" customFormat="1" ht="21" customHeight="1" x14ac:dyDescent="0.25">
      <c r="A8" s="230"/>
      <c r="B8" s="230"/>
      <c r="C8" s="230"/>
      <c r="D8" s="231"/>
      <c r="E8" s="231"/>
      <c r="F8" s="230"/>
      <c r="G8" s="230"/>
      <c r="H8" s="230"/>
      <c r="I8" s="230"/>
      <c r="J8" s="88"/>
      <c r="S8" s="3">
        <v>1</v>
      </c>
    </row>
    <row r="9" spans="1:19" s="16" customFormat="1" ht="21" customHeight="1" x14ac:dyDescent="0.25">
      <c r="A9" s="232"/>
      <c r="B9" s="233"/>
      <c r="C9" s="234"/>
      <c r="D9" s="235"/>
      <c r="E9" s="236"/>
      <c r="F9" s="232"/>
      <c r="G9" s="234"/>
      <c r="H9" s="232"/>
      <c r="I9" s="234"/>
      <c r="J9" s="88"/>
      <c r="S9" s="3">
        <v>1</v>
      </c>
    </row>
    <row r="10" spans="1:19" s="16" customFormat="1" ht="21" customHeight="1" x14ac:dyDescent="0.25">
      <c r="A10" s="232"/>
      <c r="B10" s="233"/>
      <c r="C10" s="234"/>
      <c r="D10" s="235"/>
      <c r="E10" s="236"/>
      <c r="F10" s="232"/>
      <c r="G10" s="234"/>
      <c r="H10" s="232"/>
      <c r="I10" s="234"/>
      <c r="J10" s="88"/>
      <c r="S10" s="3">
        <v>1</v>
      </c>
    </row>
    <row r="11" spans="1:19" s="16" customFormat="1" ht="21" customHeight="1" x14ac:dyDescent="0.25">
      <c r="A11" s="232"/>
      <c r="B11" s="233"/>
      <c r="C11" s="234"/>
      <c r="D11" s="235"/>
      <c r="E11" s="236"/>
      <c r="F11" s="232"/>
      <c r="G11" s="234"/>
      <c r="H11" s="232"/>
      <c r="I11" s="234"/>
      <c r="J11" s="88"/>
      <c r="S11" s="3">
        <v>1</v>
      </c>
    </row>
    <row r="12" spans="1:19" s="16" customFormat="1" ht="21" customHeight="1" x14ac:dyDescent="0.25">
      <c r="A12" s="230"/>
      <c r="B12" s="230"/>
      <c r="C12" s="230"/>
      <c r="D12" s="231"/>
      <c r="E12" s="231"/>
      <c r="F12" s="230"/>
      <c r="G12" s="230"/>
      <c r="H12" s="230"/>
      <c r="I12" s="230"/>
      <c r="J12" s="88"/>
      <c r="S12" s="3">
        <v>1</v>
      </c>
    </row>
    <row r="13" spans="1:19" s="16" customFormat="1" ht="21" customHeight="1" x14ac:dyDescent="0.25">
      <c r="A13" s="230"/>
      <c r="B13" s="230"/>
      <c r="C13" s="230"/>
      <c r="D13" s="231"/>
      <c r="E13" s="231"/>
      <c r="F13" s="230"/>
      <c r="G13" s="230"/>
      <c r="H13" s="230"/>
      <c r="I13" s="230"/>
      <c r="J13" s="88"/>
      <c r="S13" s="3">
        <v>1</v>
      </c>
    </row>
    <row r="14" spans="1:19" s="16" customFormat="1" ht="21" customHeight="1" x14ac:dyDescent="0.25">
      <c r="A14" s="230"/>
      <c r="B14" s="230"/>
      <c r="C14" s="230"/>
      <c r="D14" s="231"/>
      <c r="E14" s="231"/>
      <c r="F14" s="230"/>
      <c r="G14" s="230"/>
      <c r="H14" s="230"/>
      <c r="I14" s="230"/>
      <c r="J14" s="88"/>
      <c r="S14" s="3">
        <v>1</v>
      </c>
    </row>
    <row r="15" spans="1:19" s="16" customFormat="1" ht="21" customHeight="1" x14ac:dyDescent="0.25">
      <c r="A15" s="230"/>
      <c r="B15" s="230"/>
      <c r="C15" s="230"/>
      <c r="D15" s="231"/>
      <c r="E15" s="231"/>
      <c r="F15" s="230"/>
      <c r="G15" s="230"/>
      <c r="H15" s="230"/>
      <c r="I15" s="230"/>
      <c r="J15" s="88"/>
      <c r="S15" s="3">
        <v>1</v>
      </c>
    </row>
    <row r="16" spans="1:19" s="16" customFormat="1" ht="21" customHeight="1" x14ac:dyDescent="0.25">
      <c r="A16" s="230"/>
      <c r="B16" s="230"/>
      <c r="C16" s="230"/>
      <c r="D16" s="231"/>
      <c r="E16" s="231"/>
      <c r="F16" s="230"/>
      <c r="G16" s="230"/>
      <c r="H16" s="230"/>
      <c r="I16" s="230"/>
      <c r="J16" s="88"/>
      <c r="S16" s="3">
        <v>1</v>
      </c>
    </row>
    <row r="17" spans="1:19" s="16" customFormat="1" ht="21" customHeight="1" x14ac:dyDescent="0.25">
      <c r="A17" s="230"/>
      <c r="B17" s="230"/>
      <c r="C17" s="230"/>
      <c r="D17" s="231"/>
      <c r="E17" s="231"/>
      <c r="F17" s="230"/>
      <c r="G17" s="230"/>
      <c r="H17" s="230"/>
      <c r="I17" s="230"/>
      <c r="J17" s="88"/>
      <c r="S17" s="3">
        <v>1</v>
      </c>
    </row>
    <row r="18" spans="1:19" ht="27" customHeight="1" x14ac:dyDescent="0.25">
      <c r="A18" s="195" t="s">
        <v>18</v>
      </c>
      <c r="B18" s="196"/>
      <c r="C18" s="196"/>
      <c r="D18" s="197"/>
      <c r="E18" s="197"/>
      <c r="F18" s="197"/>
      <c r="G18" s="197"/>
      <c r="H18" s="197"/>
      <c r="I18" s="197"/>
      <c r="J18" s="198"/>
      <c r="S18" s="3">
        <v>1</v>
      </c>
    </row>
    <row r="19" spans="1:19" s="16" customFormat="1" ht="30.75" customHeight="1" x14ac:dyDescent="0.25">
      <c r="A19" s="172" t="s">
        <v>19</v>
      </c>
      <c r="B19" s="173"/>
      <c r="C19" s="174"/>
      <c r="D19" s="13" t="s">
        <v>20</v>
      </c>
      <c r="E19" s="13" t="s">
        <v>5</v>
      </c>
      <c r="F19" s="14" t="s">
        <v>21</v>
      </c>
      <c r="G19" s="15"/>
      <c r="H19" s="175"/>
      <c r="I19" s="175"/>
      <c r="J19" s="176"/>
      <c r="S19" s="3">
        <v>1</v>
      </c>
    </row>
    <row r="20" spans="1:19" s="16" customFormat="1" ht="30.6" customHeight="1" x14ac:dyDescent="0.25">
      <c r="A20" s="89" t="s">
        <v>22</v>
      </c>
      <c r="B20" s="179" t="s">
        <v>23</v>
      </c>
      <c r="C20" s="180"/>
      <c r="D20" s="90">
        <v>0</v>
      </c>
      <c r="E20" s="91">
        <v>0</v>
      </c>
      <c r="F20" s="92">
        <f>+(D20/60)*E20</f>
        <v>0</v>
      </c>
      <c r="G20" s="21"/>
      <c r="H20" s="177"/>
      <c r="I20" s="177"/>
      <c r="J20" s="178"/>
      <c r="S20" s="3">
        <v>1</v>
      </c>
    </row>
    <row r="21" spans="1:19" s="16" customFormat="1" ht="36.75" customHeight="1" x14ac:dyDescent="0.25">
      <c r="A21" s="89" t="s">
        <v>24</v>
      </c>
      <c r="B21" s="179" t="s">
        <v>25</v>
      </c>
      <c r="C21" s="180"/>
      <c r="D21" s="90">
        <v>0</v>
      </c>
      <c r="E21" s="91">
        <v>0</v>
      </c>
      <c r="F21" s="20">
        <f>(D21/60)*E21</f>
        <v>0</v>
      </c>
      <c r="G21" s="21"/>
      <c r="H21" s="177"/>
      <c r="I21" s="177"/>
      <c r="J21" s="178"/>
      <c r="S21" s="3">
        <v>1</v>
      </c>
    </row>
    <row r="22" spans="1:19" s="16" customFormat="1" ht="36.75" customHeight="1" x14ac:dyDescent="0.25">
      <c r="A22" s="89" t="s">
        <v>26</v>
      </c>
      <c r="B22" s="179" t="s">
        <v>27</v>
      </c>
      <c r="C22" s="180"/>
      <c r="D22" s="18">
        <v>0</v>
      </c>
      <c r="E22" s="19">
        <v>0</v>
      </c>
      <c r="F22" s="20">
        <f>(D22/60)*E22</f>
        <v>0</v>
      </c>
      <c r="G22" s="21"/>
      <c r="H22" s="177"/>
      <c r="I22" s="177"/>
      <c r="J22" s="178"/>
      <c r="S22" s="3">
        <v>1</v>
      </c>
    </row>
    <row r="23" spans="1:19" s="16" customFormat="1" ht="30" customHeight="1" x14ac:dyDescent="0.25">
      <c r="A23" s="172" t="s">
        <v>28</v>
      </c>
      <c r="B23" s="173"/>
      <c r="C23" s="173"/>
      <c r="D23" s="173"/>
      <c r="E23" s="181"/>
      <c r="F23" s="14" t="s">
        <v>29</v>
      </c>
      <c r="G23" s="22"/>
      <c r="H23" s="177"/>
      <c r="I23" s="177"/>
      <c r="J23" s="178"/>
      <c r="S23" s="3">
        <v>1</v>
      </c>
    </row>
    <row r="24" spans="1:19" s="16" customFormat="1" ht="20.100000000000001" customHeight="1" x14ac:dyDescent="0.25">
      <c r="A24" s="17">
        <v>2.1</v>
      </c>
      <c r="B24" s="153" t="s">
        <v>30</v>
      </c>
      <c r="C24" s="153"/>
      <c r="D24" s="153"/>
      <c r="E24" s="163"/>
      <c r="F24" s="93">
        <v>0</v>
      </c>
      <c r="G24" s="24"/>
      <c r="H24" s="177"/>
      <c r="I24" s="177"/>
      <c r="J24" s="178"/>
      <c r="S24" s="3">
        <v>1</v>
      </c>
    </row>
    <row r="25" spans="1:19" s="16" customFormat="1" ht="20.100000000000001" customHeight="1" x14ac:dyDescent="0.25">
      <c r="A25" s="17">
        <v>2.2000000000000002</v>
      </c>
      <c r="B25" s="25" t="s">
        <v>31</v>
      </c>
      <c r="C25" s="25"/>
      <c r="D25" s="25"/>
      <c r="E25" s="26"/>
      <c r="F25" s="93">
        <v>0</v>
      </c>
      <c r="G25" s="24"/>
      <c r="H25" s="177"/>
      <c r="I25" s="177"/>
      <c r="J25" s="178"/>
      <c r="S25" s="3">
        <v>1</v>
      </c>
    </row>
    <row r="26" spans="1:19" s="16" customFormat="1" ht="20.100000000000001" customHeight="1" x14ac:dyDescent="0.25">
      <c r="A26" s="17">
        <v>2.2999999999999998</v>
      </c>
      <c r="B26" s="25" t="s">
        <v>32</v>
      </c>
      <c r="C26" s="25"/>
      <c r="D26" s="25"/>
      <c r="E26" s="26"/>
      <c r="F26" s="94">
        <v>0</v>
      </c>
      <c r="G26" s="24"/>
      <c r="H26" s="177"/>
      <c r="I26" s="177"/>
      <c r="J26" s="178"/>
      <c r="S26" s="3">
        <v>1</v>
      </c>
    </row>
    <row r="27" spans="1:19" s="16" customFormat="1" ht="20.100000000000001" customHeight="1" x14ac:dyDescent="0.25">
      <c r="A27" s="17">
        <v>2.4</v>
      </c>
      <c r="B27" s="25" t="s">
        <v>33</v>
      </c>
      <c r="C27" s="25"/>
      <c r="D27" s="25"/>
      <c r="E27" s="26"/>
      <c r="F27" s="94">
        <v>0</v>
      </c>
      <c r="G27" s="24"/>
      <c r="H27" s="177"/>
      <c r="I27" s="177"/>
      <c r="J27" s="178"/>
      <c r="S27" s="3">
        <v>1</v>
      </c>
    </row>
    <row r="28" spans="1:19" s="16" customFormat="1" ht="20.100000000000001" customHeight="1" x14ac:dyDescent="0.25">
      <c r="A28" s="17">
        <v>2.5</v>
      </c>
      <c r="B28" s="25" t="s">
        <v>34</v>
      </c>
      <c r="C28" s="25"/>
      <c r="D28" s="25"/>
      <c r="E28" s="26"/>
      <c r="F28" s="94">
        <v>0</v>
      </c>
      <c r="G28" s="24"/>
      <c r="H28" s="177"/>
      <c r="I28" s="177"/>
      <c r="J28" s="178"/>
      <c r="S28" s="3">
        <v>1</v>
      </c>
    </row>
    <row r="29" spans="1:19" s="16" customFormat="1" ht="20.100000000000001" customHeight="1" x14ac:dyDescent="0.25">
      <c r="A29" s="17">
        <v>2.6</v>
      </c>
      <c r="B29" s="25" t="s">
        <v>35</v>
      </c>
      <c r="C29" s="25"/>
      <c r="D29" s="25"/>
      <c r="E29" s="26"/>
      <c r="F29" s="94">
        <v>0</v>
      </c>
      <c r="G29" s="24"/>
      <c r="H29" s="177"/>
      <c r="I29" s="177"/>
      <c r="J29" s="178"/>
      <c r="S29" s="3">
        <v>1</v>
      </c>
    </row>
    <row r="30" spans="1:19" s="16" customFormat="1" ht="20.100000000000001" customHeight="1" x14ac:dyDescent="0.25">
      <c r="A30" s="17">
        <v>2.7</v>
      </c>
      <c r="B30" s="25" t="s">
        <v>36</v>
      </c>
      <c r="C30" s="25"/>
      <c r="D30" s="25"/>
      <c r="E30" s="26"/>
      <c r="F30" s="94">
        <v>0</v>
      </c>
      <c r="G30" s="24"/>
      <c r="H30" s="177"/>
      <c r="I30" s="177"/>
      <c r="J30" s="178"/>
      <c r="S30" s="3">
        <v>1</v>
      </c>
    </row>
    <row r="31" spans="1:19" s="16" customFormat="1" ht="20.100000000000001" customHeight="1" x14ac:dyDescent="0.25">
      <c r="A31" s="17">
        <v>2.8</v>
      </c>
      <c r="B31" s="25" t="s">
        <v>37</v>
      </c>
      <c r="C31" s="25"/>
      <c r="D31" s="25"/>
      <c r="E31" s="26"/>
      <c r="F31" s="94">
        <v>0</v>
      </c>
      <c r="G31" s="24"/>
      <c r="H31" s="177"/>
      <c r="I31" s="177"/>
      <c r="J31" s="178"/>
      <c r="S31" s="3">
        <v>1</v>
      </c>
    </row>
    <row r="32" spans="1:19" s="16" customFormat="1" ht="20.100000000000001" customHeight="1" x14ac:dyDescent="0.25">
      <c r="A32" s="17">
        <v>2.9</v>
      </c>
      <c r="B32" s="25" t="s">
        <v>38</v>
      </c>
      <c r="C32" s="25"/>
      <c r="D32" s="25"/>
      <c r="E32" s="26"/>
      <c r="F32" s="94">
        <v>0</v>
      </c>
      <c r="G32" s="24"/>
      <c r="H32" s="177"/>
      <c r="I32" s="177"/>
      <c r="J32" s="178"/>
      <c r="S32" s="3">
        <v>1</v>
      </c>
    </row>
    <row r="33" spans="1:19" s="16" customFormat="1" ht="20.100000000000001" customHeight="1" x14ac:dyDescent="0.25">
      <c r="A33" s="28" t="s">
        <v>39</v>
      </c>
      <c r="B33" s="25" t="s">
        <v>40</v>
      </c>
      <c r="C33" s="25"/>
      <c r="D33" s="25"/>
      <c r="E33" s="26"/>
      <c r="F33" s="94">
        <v>0</v>
      </c>
      <c r="G33" s="24"/>
      <c r="H33" s="177"/>
      <c r="I33" s="177"/>
      <c r="J33" s="178"/>
      <c r="S33" s="3">
        <v>1</v>
      </c>
    </row>
    <row r="34" spans="1:19" s="16" customFormat="1" ht="20.100000000000001" customHeight="1" x14ac:dyDescent="0.25">
      <c r="A34" s="17">
        <v>2.11</v>
      </c>
      <c r="B34" s="25" t="s">
        <v>41</v>
      </c>
      <c r="C34" s="25"/>
      <c r="D34" s="25"/>
      <c r="E34" s="26"/>
      <c r="F34" s="94">
        <v>0</v>
      </c>
      <c r="G34" s="24"/>
      <c r="H34" s="177"/>
      <c r="I34" s="177"/>
      <c r="J34" s="178"/>
      <c r="S34" s="3">
        <v>1</v>
      </c>
    </row>
    <row r="35" spans="1:19" s="16" customFormat="1" ht="20.100000000000001" customHeight="1" x14ac:dyDescent="0.25">
      <c r="A35" s="17">
        <v>2.12</v>
      </c>
      <c r="B35" s="25" t="s">
        <v>42</v>
      </c>
      <c r="C35" s="25"/>
      <c r="D35" s="25"/>
      <c r="E35" s="26"/>
      <c r="F35" s="94">
        <v>0</v>
      </c>
      <c r="G35" s="24"/>
      <c r="H35" s="177"/>
      <c r="I35" s="177"/>
      <c r="J35" s="178"/>
      <c r="S35" s="3">
        <v>1</v>
      </c>
    </row>
    <row r="36" spans="1:19" s="16" customFormat="1" ht="20.100000000000001" customHeight="1" x14ac:dyDescent="0.25">
      <c r="A36" s="17">
        <v>2.13</v>
      </c>
      <c r="B36" s="25" t="s">
        <v>43</v>
      </c>
      <c r="C36" s="25"/>
      <c r="D36" s="25"/>
      <c r="E36" s="26"/>
      <c r="F36" s="94">
        <v>0</v>
      </c>
      <c r="G36" s="24"/>
      <c r="H36" s="177"/>
      <c r="I36" s="177"/>
      <c r="J36" s="178"/>
      <c r="S36" s="3">
        <v>1</v>
      </c>
    </row>
    <row r="37" spans="1:19" s="16" customFormat="1" ht="25.5" customHeight="1" x14ac:dyDescent="0.25">
      <c r="A37" s="225" t="s">
        <v>44</v>
      </c>
      <c r="B37" s="226"/>
      <c r="C37" s="226"/>
      <c r="D37" s="226"/>
      <c r="E37" s="227"/>
      <c r="F37" s="29">
        <f>SUM(F24:F36)</f>
        <v>0</v>
      </c>
      <c r="G37" s="30"/>
      <c r="H37" s="177"/>
      <c r="I37" s="177"/>
      <c r="J37" s="178"/>
      <c r="S37" s="3">
        <v>1</v>
      </c>
    </row>
    <row r="38" spans="1:19" s="16" customFormat="1" ht="24.75" customHeight="1" x14ac:dyDescent="0.25">
      <c r="A38" s="95" t="s">
        <v>45</v>
      </c>
      <c r="B38" s="228" t="s">
        <v>46</v>
      </c>
      <c r="C38" s="228"/>
      <c r="D38" s="228"/>
      <c r="E38" s="228"/>
      <c r="F38" s="96">
        <v>0</v>
      </c>
      <c r="G38" s="22"/>
      <c r="H38" s="177"/>
      <c r="I38" s="177"/>
      <c r="J38" s="178"/>
      <c r="S38" s="3">
        <v>1</v>
      </c>
    </row>
    <row r="39" spans="1:19" s="16" customFormat="1" ht="25.5" customHeight="1" x14ac:dyDescent="0.25">
      <c r="A39" s="97" t="s">
        <v>47</v>
      </c>
      <c r="B39" s="229" t="s">
        <v>48</v>
      </c>
      <c r="C39" s="229"/>
      <c r="D39" s="229"/>
      <c r="E39" s="229"/>
      <c r="F39" s="98">
        <v>0</v>
      </c>
      <c r="G39" s="33"/>
      <c r="H39" s="177"/>
      <c r="I39" s="177"/>
      <c r="J39" s="178"/>
      <c r="S39" s="3">
        <v>1</v>
      </c>
    </row>
    <row r="40" spans="1:19" s="16" customFormat="1" ht="30.75" customHeight="1" thickBot="1" x14ac:dyDescent="0.3">
      <c r="A40" s="97" t="s">
        <v>49</v>
      </c>
      <c r="B40" s="229" t="s">
        <v>50</v>
      </c>
      <c r="C40" s="229"/>
      <c r="D40" s="229"/>
      <c r="E40" s="229"/>
      <c r="F40" s="98">
        <v>0</v>
      </c>
      <c r="G40" s="22"/>
      <c r="H40" s="177"/>
      <c r="I40" s="177"/>
      <c r="J40" s="178"/>
      <c r="S40" s="3">
        <v>1</v>
      </c>
    </row>
    <row r="41" spans="1:19" ht="35.25" customHeight="1" x14ac:dyDescent="0.25">
      <c r="A41" s="170" t="s">
        <v>51</v>
      </c>
      <c r="B41" s="171"/>
      <c r="C41" s="171"/>
      <c r="D41" s="171"/>
      <c r="E41" s="171"/>
      <c r="F41" s="99" t="s">
        <v>52</v>
      </c>
      <c r="G41" s="167"/>
      <c r="H41" s="167"/>
      <c r="I41" s="167"/>
      <c r="J41" s="168"/>
      <c r="L41" s="16"/>
      <c r="M41" s="16"/>
      <c r="N41" s="16"/>
      <c r="S41" s="3">
        <v>1</v>
      </c>
    </row>
    <row r="42" spans="1:19" ht="36.75" customHeight="1" x14ac:dyDescent="0.25">
      <c r="A42" s="100" t="s">
        <v>200</v>
      </c>
      <c r="B42" s="223" t="s">
        <v>201</v>
      </c>
      <c r="C42" s="223"/>
      <c r="D42" s="223"/>
      <c r="E42" s="223"/>
      <c r="F42" s="101">
        <v>0</v>
      </c>
      <c r="G42" s="37"/>
      <c r="H42" s="38"/>
      <c r="I42" s="38"/>
      <c r="J42" s="39"/>
      <c r="K42" s="40"/>
      <c r="L42" s="16"/>
      <c r="M42" s="16"/>
      <c r="N42" s="16"/>
      <c r="S42" s="3">
        <v>1</v>
      </c>
    </row>
    <row r="43" spans="1:19" ht="36.75" customHeight="1" thickBot="1" x14ac:dyDescent="0.3">
      <c r="A43" s="102" t="s">
        <v>202</v>
      </c>
      <c r="B43" s="224" t="s">
        <v>54</v>
      </c>
      <c r="C43" s="224"/>
      <c r="D43" s="224"/>
      <c r="E43" s="224"/>
      <c r="F43" s="103">
        <v>0</v>
      </c>
      <c r="G43" s="43"/>
      <c r="H43" s="44"/>
      <c r="I43" s="44"/>
      <c r="J43" s="45"/>
      <c r="K43" s="40"/>
      <c r="L43" s="16"/>
      <c r="M43" s="16"/>
      <c r="N43" s="16"/>
      <c r="S43" s="3">
        <v>1</v>
      </c>
    </row>
    <row r="44" spans="1:19" ht="37.5" customHeight="1" x14ac:dyDescent="0.25">
      <c r="A44" s="170" t="s">
        <v>55</v>
      </c>
      <c r="B44" s="171"/>
      <c r="C44" s="171"/>
      <c r="D44" s="171"/>
      <c r="E44" s="171"/>
      <c r="F44" s="104" t="s">
        <v>56</v>
      </c>
      <c r="G44" s="167"/>
      <c r="H44" s="167"/>
      <c r="I44" s="167"/>
      <c r="J44" s="168"/>
      <c r="K44" s="40"/>
      <c r="L44" s="16"/>
      <c r="M44" s="16"/>
      <c r="N44" s="16"/>
      <c r="S44" s="3">
        <v>1</v>
      </c>
    </row>
    <row r="45" spans="1:19" ht="28.5" customHeight="1" x14ac:dyDescent="0.25">
      <c r="A45" s="105" t="s">
        <v>203</v>
      </c>
      <c r="B45" s="223" t="s">
        <v>57</v>
      </c>
      <c r="C45" s="223"/>
      <c r="D45" s="223"/>
      <c r="E45" s="223"/>
      <c r="F45" s="106">
        <v>0</v>
      </c>
      <c r="G45" s="47"/>
      <c r="H45" s="48"/>
      <c r="I45" s="48"/>
      <c r="J45" s="49"/>
      <c r="K45" s="40"/>
      <c r="L45" s="16"/>
      <c r="M45" s="16"/>
      <c r="N45" s="16"/>
      <c r="S45" s="3">
        <v>1</v>
      </c>
    </row>
    <row r="46" spans="1:19" ht="30.75" customHeight="1" x14ac:dyDescent="0.25">
      <c r="A46" s="105" t="s">
        <v>204</v>
      </c>
      <c r="B46" s="224" t="s">
        <v>58</v>
      </c>
      <c r="C46" s="224"/>
      <c r="D46" s="224"/>
      <c r="E46" s="224"/>
      <c r="F46" s="106">
        <v>0</v>
      </c>
      <c r="G46" s="47"/>
      <c r="H46" s="48"/>
      <c r="I46" s="48"/>
      <c r="J46" s="49"/>
      <c r="K46" s="40"/>
      <c r="L46" s="16"/>
      <c r="M46" s="16"/>
      <c r="N46" s="16"/>
      <c r="S46" s="3">
        <v>1</v>
      </c>
    </row>
    <row r="47" spans="1:19" ht="30.75" customHeight="1" thickBot="1" x14ac:dyDescent="0.3">
      <c r="A47" s="105" t="s">
        <v>205</v>
      </c>
      <c r="B47" s="224" t="s">
        <v>59</v>
      </c>
      <c r="C47" s="224"/>
      <c r="D47" s="224"/>
      <c r="E47" s="224"/>
      <c r="F47" s="106">
        <v>0</v>
      </c>
      <c r="G47" s="50"/>
      <c r="H47" s="44"/>
      <c r="I47" s="44"/>
      <c r="J47" s="45"/>
      <c r="K47" s="40"/>
      <c r="L47" s="16"/>
      <c r="M47" s="16"/>
      <c r="N47" s="16"/>
      <c r="S47" s="3">
        <v>1</v>
      </c>
    </row>
    <row r="48" spans="1:19" ht="31.5" customHeight="1" x14ac:dyDescent="0.25">
      <c r="A48" s="170" t="s">
        <v>60</v>
      </c>
      <c r="B48" s="171"/>
      <c r="C48" s="171"/>
      <c r="D48" s="171"/>
      <c r="E48" s="171"/>
      <c r="F48" s="104" t="s">
        <v>52</v>
      </c>
      <c r="G48" s="167"/>
      <c r="H48" s="167"/>
      <c r="I48" s="167"/>
      <c r="J48" s="168"/>
      <c r="K48" s="40"/>
      <c r="L48" s="16"/>
      <c r="M48" s="16"/>
      <c r="N48" s="16"/>
      <c r="S48" s="3">
        <v>1</v>
      </c>
    </row>
    <row r="49" spans="1:19" ht="20.100000000000001" customHeight="1" x14ac:dyDescent="0.25">
      <c r="A49" s="17">
        <v>5.0999999999999996</v>
      </c>
      <c r="B49" s="153" t="s">
        <v>61</v>
      </c>
      <c r="C49" s="153"/>
      <c r="D49" s="153"/>
      <c r="E49" s="163"/>
      <c r="F49" s="107">
        <v>0</v>
      </c>
      <c r="G49" s="33"/>
      <c r="H49" s="48"/>
      <c r="I49" s="48"/>
      <c r="J49" s="49"/>
      <c r="K49" s="40"/>
      <c r="S49" s="3">
        <v>1</v>
      </c>
    </row>
    <row r="50" spans="1:19" ht="20.100000000000001" customHeight="1" x14ac:dyDescent="0.25">
      <c r="A50" s="17">
        <v>5.2</v>
      </c>
      <c r="B50" s="153" t="s">
        <v>62</v>
      </c>
      <c r="C50" s="153"/>
      <c r="D50" s="153"/>
      <c r="E50" s="163"/>
      <c r="F50" s="107">
        <v>0</v>
      </c>
      <c r="G50" s="33"/>
      <c r="H50" s="48"/>
      <c r="I50" s="48"/>
      <c r="J50" s="49"/>
      <c r="K50" s="40"/>
      <c r="S50" s="3">
        <v>1</v>
      </c>
    </row>
    <row r="51" spans="1:19" ht="20.100000000000001" customHeight="1" x14ac:dyDescent="0.25">
      <c r="A51" s="17">
        <v>5.3</v>
      </c>
      <c r="B51" s="153" t="s">
        <v>63</v>
      </c>
      <c r="C51" s="153"/>
      <c r="D51" s="153"/>
      <c r="E51" s="163"/>
      <c r="F51" s="107">
        <v>0</v>
      </c>
      <c r="G51" s="33"/>
      <c r="H51" s="48"/>
      <c r="I51" s="48"/>
      <c r="J51" s="49"/>
      <c r="K51" s="40"/>
      <c r="S51" s="3">
        <v>1</v>
      </c>
    </row>
    <row r="52" spans="1:19" ht="20.100000000000001" customHeight="1" x14ac:dyDescent="0.25">
      <c r="A52" s="17">
        <v>5.4</v>
      </c>
      <c r="B52" s="153" t="s">
        <v>64</v>
      </c>
      <c r="C52" s="153"/>
      <c r="D52" s="153"/>
      <c r="E52" s="163"/>
      <c r="F52" s="107">
        <v>0</v>
      </c>
      <c r="G52" s="33"/>
      <c r="H52" s="48"/>
      <c r="I52" s="48"/>
      <c r="J52" s="49"/>
      <c r="K52" s="40"/>
      <c r="S52" s="3">
        <v>1</v>
      </c>
    </row>
    <row r="53" spans="1:19" ht="20.100000000000001" customHeight="1" x14ac:dyDescent="0.25">
      <c r="A53" s="17">
        <v>5.5</v>
      </c>
      <c r="B53" s="153" t="s">
        <v>65</v>
      </c>
      <c r="C53" s="153"/>
      <c r="D53" s="153"/>
      <c r="E53" s="163"/>
      <c r="F53" s="107">
        <v>0</v>
      </c>
      <c r="G53" s="33"/>
      <c r="H53" s="48"/>
      <c r="I53" s="48"/>
      <c r="J53" s="49"/>
      <c r="K53" s="40"/>
      <c r="S53" s="3">
        <v>1</v>
      </c>
    </row>
    <row r="54" spans="1:19" ht="20.100000000000001" customHeight="1" x14ac:dyDescent="0.25">
      <c r="A54" s="17">
        <v>5.6</v>
      </c>
      <c r="B54" s="153" t="s">
        <v>66</v>
      </c>
      <c r="C54" s="153"/>
      <c r="D54" s="153"/>
      <c r="E54" s="163"/>
      <c r="F54" s="107">
        <v>0</v>
      </c>
      <c r="G54" s="33"/>
      <c r="H54" s="48"/>
      <c r="I54" s="48"/>
      <c r="J54" s="49"/>
      <c r="K54" s="40"/>
      <c r="S54" s="3">
        <v>1</v>
      </c>
    </row>
    <row r="55" spans="1:19" ht="20.100000000000001" customHeight="1" x14ac:dyDescent="0.25">
      <c r="A55" s="17">
        <v>5.7</v>
      </c>
      <c r="B55" s="153" t="s">
        <v>67</v>
      </c>
      <c r="C55" s="153"/>
      <c r="D55" s="153"/>
      <c r="E55" s="163"/>
      <c r="F55" s="107">
        <v>0</v>
      </c>
      <c r="G55" s="33"/>
      <c r="H55" s="48"/>
      <c r="I55" s="48"/>
      <c r="J55" s="49"/>
      <c r="K55" s="40"/>
      <c r="S55" s="3">
        <v>1</v>
      </c>
    </row>
    <row r="56" spans="1:19" ht="20.100000000000001" customHeight="1" x14ac:dyDescent="0.25">
      <c r="A56" s="17">
        <v>5.8</v>
      </c>
      <c r="B56" s="153" t="s">
        <v>68</v>
      </c>
      <c r="C56" s="153"/>
      <c r="D56" s="153"/>
      <c r="E56" s="163"/>
      <c r="F56" s="107">
        <v>0</v>
      </c>
      <c r="G56" s="33"/>
      <c r="H56" s="48"/>
      <c r="I56" s="48"/>
      <c r="J56" s="49"/>
      <c r="K56" s="40"/>
      <c r="S56" s="3">
        <v>1</v>
      </c>
    </row>
    <row r="57" spans="1:19" ht="20.100000000000001" customHeight="1" x14ac:dyDescent="0.25">
      <c r="A57" s="17">
        <v>5.9</v>
      </c>
      <c r="B57" s="153" t="s">
        <v>69</v>
      </c>
      <c r="C57" s="153"/>
      <c r="D57" s="153"/>
      <c r="E57" s="163"/>
      <c r="F57" s="107">
        <v>0</v>
      </c>
      <c r="G57" s="33"/>
      <c r="H57" s="48"/>
      <c r="I57" s="48"/>
      <c r="J57" s="49"/>
      <c r="K57" s="40"/>
      <c r="S57" s="3">
        <v>1</v>
      </c>
    </row>
    <row r="58" spans="1:19" ht="20.100000000000001" customHeight="1" x14ac:dyDescent="0.25">
      <c r="A58" s="17" t="s">
        <v>70</v>
      </c>
      <c r="B58" s="153" t="s">
        <v>71</v>
      </c>
      <c r="C58" s="153"/>
      <c r="D58" s="153"/>
      <c r="E58" s="163"/>
      <c r="F58" s="107">
        <v>0</v>
      </c>
      <c r="G58" s="33"/>
      <c r="H58" s="48"/>
      <c r="I58" s="48"/>
      <c r="J58" s="49"/>
      <c r="K58" s="40"/>
      <c r="S58" s="3">
        <v>1</v>
      </c>
    </row>
    <row r="59" spans="1:19" ht="20.100000000000001" customHeight="1" x14ac:dyDescent="0.25">
      <c r="A59" s="17" t="s">
        <v>72</v>
      </c>
      <c r="B59" s="153" t="s">
        <v>73</v>
      </c>
      <c r="C59" s="153"/>
      <c r="D59" s="153"/>
      <c r="E59" s="163"/>
      <c r="F59" s="107">
        <v>0</v>
      </c>
      <c r="G59" s="33"/>
      <c r="H59" s="48"/>
      <c r="I59" s="48"/>
      <c r="J59" s="49"/>
      <c r="K59" s="40"/>
      <c r="S59" s="3">
        <v>1</v>
      </c>
    </row>
    <row r="60" spans="1:19" ht="20.100000000000001" customHeight="1" x14ac:dyDescent="0.25">
      <c r="A60" s="17" t="s">
        <v>74</v>
      </c>
      <c r="B60" s="153" t="s">
        <v>75</v>
      </c>
      <c r="C60" s="153"/>
      <c r="D60" s="153"/>
      <c r="E60" s="153"/>
      <c r="F60" s="36">
        <f>SUM(F61:F63)</f>
        <v>0</v>
      </c>
      <c r="G60" s="33"/>
      <c r="H60" s="48"/>
      <c r="I60" s="48"/>
      <c r="J60" s="49"/>
      <c r="K60" s="40"/>
      <c r="S60" s="3">
        <v>1</v>
      </c>
    </row>
    <row r="61" spans="1:19" ht="20.100000000000001" customHeight="1" x14ac:dyDescent="0.25">
      <c r="A61" s="17" t="s">
        <v>76</v>
      </c>
      <c r="B61" s="153" t="s">
        <v>77</v>
      </c>
      <c r="C61" s="153"/>
      <c r="D61" s="153"/>
      <c r="E61" s="153"/>
      <c r="F61" s="107">
        <v>0</v>
      </c>
      <c r="G61" s="33"/>
      <c r="H61" s="48"/>
      <c r="I61" s="48"/>
      <c r="J61" s="49"/>
      <c r="K61" s="40"/>
      <c r="S61" s="3">
        <v>1</v>
      </c>
    </row>
    <row r="62" spans="1:19" ht="20.100000000000001" customHeight="1" x14ac:dyDescent="0.25">
      <c r="A62" s="17" t="s">
        <v>78</v>
      </c>
      <c r="B62" s="153" t="s">
        <v>79</v>
      </c>
      <c r="C62" s="153"/>
      <c r="D62" s="153"/>
      <c r="E62" s="153"/>
      <c r="F62" s="107">
        <v>0</v>
      </c>
      <c r="G62" s="33"/>
      <c r="H62" s="48"/>
      <c r="I62" s="48"/>
      <c r="J62" s="49"/>
      <c r="K62" s="40"/>
      <c r="S62" s="3">
        <v>1</v>
      </c>
    </row>
    <row r="63" spans="1:19" ht="20.100000000000001" customHeight="1" x14ac:dyDescent="0.25">
      <c r="A63" s="17" t="s">
        <v>80</v>
      </c>
      <c r="B63" s="153" t="s">
        <v>81</v>
      </c>
      <c r="C63" s="153"/>
      <c r="D63" s="153"/>
      <c r="E63" s="153"/>
      <c r="F63" s="107">
        <v>0</v>
      </c>
      <c r="G63" s="33"/>
      <c r="H63" s="48"/>
      <c r="I63" s="48"/>
      <c r="J63" s="49"/>
      <c r="K63" s="40"/>
      <c r="S63" s="3">
        <v>1</v>
      </c>
    </row>
    <row r="64" spans="1:19" ht="20.100000000000001" customHeight="1" x14ac:dyDescent="0.25">
      <c r="A64" s="17">
        <v>5.13</v>
      </c>
      <c r="B64" s="153" t="s">
        <v>82</v>
      </c>
      <c r="C64" s="153"/>
      <c r="D64" s="153"/>
      <c r="E64" s="153"/>
      <c r="F64" s="107">
        <v>0</v>
      </c>
      <c r="G64" s="33"/>
      <c r="H64" s="48"/>
      <c r="I64" s="48"/>
      <c r="J64" s="49"/>
      <c r="K64" s="40"/>
      <c r="S64" s="3">
        <v>1</v>
      </c>
    </row>
    <row r="65" spans="1:19" ht="25.5" customHeight="1" thickBot="1" x14ac:dyDescent="0.3">
      <c r="A65" s="154" t="s">
        <v>83</v>
      </c>
      <c r="B65" s="155"/>
      <c r="C65" s="155"/>
      <c r="D65" s="155"/>
      <c r="E65" s="156"/>
      <c r="F65" s="29">
        <f>SUM(F49:F64)-F60</f>
        <v>0</v>
      </c>
      <c r="G65" s="43"/>
      <c r="H65" s="44"/>
      <c r="I65" s="44"/>
      <c r="J65" s="45"/>
      <c r="K65" s="40"/>
      <c r="S65" s="3">
        <v>1</v>
      </c>
    </row>
    <row r="66" spans="1:19" ht="30.75" customHeight="1" x14ac:dyDescent="0.25">
      <c r="A66" s="108" t="s">
        <v>84</v>
      </c>
      <c r="B66" s="109"/>
      <c r="C66" s="109"/>
      <c r="D66" s="109"/>
      <c r="E66" s="109"/>
      <c r="F66" s="109"/>
      <c r="G66" s="109"/>
      <c r="H66" s="109"/>
      <c r="I66" s="109"/>
      <c r="J66" s="121"/>
      <c r="S66" s="3">
        <v>1</v>
      </c>
    </row>
    <row r="67" spans="1:19" s="55" customFormat="1" ht="28.35" customHeight="1" x14ac:dyDescent="0.25">
      <c r="A67" s="157" t="s">
        <v>85</v>
      </c>
      <c r="B67" s="158"/>
      <c r="C67" s="158"/>
      <c r="D67" s="159"/>
      <c r="E67" s="128" t="s">
        <v>86</v>
      </c>
      <c r="F67" s="160"/>
      <c r="G67" s="160"/>
      <c r="H67" s="129"/>
      <c r="I67" s="161" t="s">
        <v>87</v>
      </c>
      <c r="J67" s="162"/>
      <c r="S67" s="3">
        <v>1</v>
      </c>
    </row>
    <row r="68" spans="1:19" s="58" customFormat="1" ht="25.5" x14ac:dyDescent="0.25">
      <c r="A68" s="151" t="s">
        <v>88</v>
      </c>
      <c r="B68" s="152"/>
      <c r="C68" s="152" t="s">
        <v>89</v>
      </c>
      <c r="D68" s="152"/>
      <c r="E68" s="56" t="s">
        <v>90</v>
      </c>
      <c r="F68" s="152" t="s">
        <v>91</v>
      </c>
      <c r="G68" s="152"/>
      <c r="H68" s="152"/>
      <c r="I68" s="56" t="s">
        <v>206</v>
      </c>
      <c r="J68" s="57" t="s">
        <v>93</v>
      </c>
      <c r="S68" s="3">
        <v>1</v>
      </c>
    </row>
    <row r="69" spans="1:19" s="58" customFormat="1" ht="36" customHeight="1" x14ac:dyDescent="0.25">
      <c r="A69" s="144" t="s">
        <v>207</v>
      </c>
      <c r="B69" s="145"/>
      <c r="C69" s="146"/>
      <c r="D69" s="145"/>
      <c r="E69" s="59" t="s">
        <v>208</v>
      </c>
      <c r="F69" s="147"/>
      <c r="G69" s="147"/>
      <c r="H69" s="147"/>
      <c r="I69" s="60"/>
      <c r="J69" s="61"/>
      <c r="S69" s="3">
        <v>1</v>
      </c>
    </row>
    <row r="70" spans="1:19" s="58" customFormat="1" ht="36" customHeight="1" x14ac:dyDescent="0.25">
      <c r="A70" s="144"/>
      <c r="B70" s="145"/>
      <c r="C70" s="146"/>
      <c r="D70" s="145"/>
      <c r="E70" s="59"/>
      <c r="F70" s="147"/>
      <c r="G70" s="147"/>
      <c r="H70" s="147"/>
      <c r="I70" s="60"/>
      <c r="J70" s="61"/>
      <c r="S70" s="3">
        <v>1</v>
      </c>
    </row>
    <row r="71" spans="1:19" s="58" customFormat="1" ht="36" customHeight="1" thickBot="1" x14ac:dyDescent="0.3">
      <c r="A71" s="144"/>
      <c r="B71" s="145"/>
      <c r="C71" s="148"/>
      <c r="D71" s="149"/>
      <c r="E71" s="59"/>
      <c r="F71" s="150"/>
      <c r="G71" s="150"/>
      <c r="H71" s="150"/>
      <c r="I71" s="63"/>
      <c r="J71" s="64"/>
      <c r="S71" s="3">
        <v>1</v>
      </c>
    </row>
    <row r="72" spans="1:19" ht="27.75" customHeight="1" x14ac:dyDescent="0.25">
      <c r="A72" s="108" t="s">
        <v>94</v>
      </c>
      <c r="B72" s="109"/>
      <c r="C72" s="109"/>
      <c r="D72" s="109"/>
      <c r="E72" s="109"/>
      <c r="F72" s="109"/>
      <c r="G72" s="109"/>
      <c r="H72" s="109"/>
      <c r="I72" s="109"/>
      <c r="J72" s="121"/>
      <c r="S72" s="3">
        <v>1</v>
      </c>
    </row>
    <row r="73" spans="1:19" s="58" customFormat="1" ht="43.5" customHeight="1" x14ac:dyDescent="0.25">
      <c r="A73" s="122" t="s">
        <v>95</v>
      </c>
      <c r="B73" s="123"/>
      <c r="C73" s="124"/>
      <c r="D73" s="56" t="s">
        <v>96</v>
      </c>
      <c r="E73" s="19" t="s">
        <v>97</v>
      </c>
      <c r="F73" s="19" t="s">
        <v>98</v>
      </c>
      <c r="G73" s="128" t="s">
        <v>99</v>
      </c>
      <c r="H73" s="129"/>
      <c r="I73" s="56" t="s">
        <v>100</v>
      </c>
      <c r="J73" s="130"/>
      <c r="S73" s="3">
        <v>1</v>
      </c>
    </row>
    <row r="74" spans="1:19" s="58" customFormat="1" ht="24.95" customHeight="1" x14ac:dyDescent="0.25">
      <c r="A74" s="125"/>
      <c r="B74" s="126"/>
      <c r="C74" s="127"/>
      <c r="D74" s="65">
        <v>0</v>
      </c>
      <c r="E74" s="65">
        <v>0</v>
      </c>
      <c r="F74" s="65">
        <v>0</v>
      </c>
      <c r="G74" s="132">
        <v>0</v>
      </c>
      <c r="H74" s="133"/>
      <c r="I74" s="66">
        <f>SUM(D74:H74)</f>
        <v>0</v>
      </c>
      <c r="J74" s="130"/>
      <c r="S74" s="3">
        <v>1</v>
      </c>
    </row>
    <row r="75" spans="1:19" s="58" customFormat="1" ht="24" customHeight="1" x14ac:dyDescent="0.25">
      <c r="A75" s="134" t="s">
        <v>101</v>
      </c>
      <c r="B75" s="135"/>
      <c r="C75" s="136"/>
      <c r="D75" s="67" t="s">
        <v>102</v>
      </c>
      <c r="E75" s="67" t="s">
        <v>103</v>
      </c>
      <c r="F75" s="68"/>
      <c r="G75" s="140"/>
      <c r="H75" s="141"/>
      <c r="I75" s="68"/>
      <c r="J75" s="130"/>
      <c r="S75" s="3">
        <v>1</v>
      </c>
    </row>
    <row r="76" spans="1:19" s="58" customFormat="1" ht="24.95" customHeight="1" thickBot="1" x14ac:dyDescent="0.3">
      <c r="A76" s="137"/>
      <c r="B76" s="138"/>
      <c r="C76" s="139"/>
      <c r="D76" s="69">
        <v>0</v>
      </c>
      <c r="E76" s="69">
        <v>0</v>
      </c>
      <c r="F76" s="69"/>
      <c r="G76" s="142"/>
      <c r="H76" s="143"/>
      <c r="I76" s="70">
        <f>SUM(D76:H76)</f>
        <v>0</v>
      </c>
      <c r="J76" s="131"/>
      <c r="S76" s="3">
        <v>1</v>
      </c>
    </row>
    <row r="77" spans="1:19" ht="30" customHeight="1" thickBot="1" x14ac:dyDescent="0.3">
      <c r="A77" s="209" t="s">
        <v>104</v>
      </c>
      <c r="B77" s="210"/>
      <c r="C77" s="210"/>
      <c r="D77" s="210"/>
      <c r="E77" s="210"/>
      <c r="F77" s="210"/>
      <c r="G77" s="210"/>
      <c r="H77" s="210"/>
      <c r="I77" s="210"/>
      <c r="J77" s="211"/>
      <c r="S77" s="3">
        <v>1</v>
      </c>
    </row>
    <row r="78" spans="1:19" ht="152.25" customHeight="1" x14ac:dyDescent="0.25">
      <c r="A78" s="212"/>
      <c r="B78" s="213"/>
      <c r="C78" s="213"/>
      <c r="D78" s="214"/>
      <c r="E78" s="214"/>
      <c r="F78" s="214"/>
      <c r="G78" s="215"/>
      <c r="H78" s="213"/>
      <c r="I78" s="216"/>
      <c r="J78" s="217"/>
      <c r="S78" s="3">
        <v>1</v>
      </c>
    </row>
    <row r="79" spans="1:19" ht="24" customHeight="1" thickBot="1" x14ac:dyDescent="0.3">
      <c r="A79" s="114"/>
      <c r="B79" s="115"/>
      <c r="C79" s="115"/>
      <c r="D79" s="116"/>
      <c r="E79" s="218"/>
      <c r="F79" s="219"/>
      <c r="G79" s="218"/>
      <c r="H79" s="220"/>
      <c r="I79" s="221"/>
      <c r="J79" s="222"/>
      <c r="S79" s="3">
        <v>1</v>
      </c>
    </row>
  </sheetData>
  <mergeCells count="131">
    <mergeCell ref="A4:C4"/>
    <mergeCell ref="D4:E4"/>
    <mergeCell ref="F4:F5"/>
    <mergeCell ref="G4:J4"/>
    <mergeCell ref="A5:C5"/>
    <mergeCell ref="D5:E5"/>
    <mergeCell ref="G5:J5"/>
    <mergeCell ref="D1:H1"/>
    <mergeCell ref="I1:J1"/>
    <mergeCell ref="A2:C2"/>
    <mergeCell ref="D2:E2"/>
    <mergeCell ref="G2:H2"/>
    <mergeCell ref="A3:C3"/>
    <mergeCell ref="D3:E3"/>
    <mergeCell ref="G3:H3"/>
    <mergeCell ref="A9:C9"/>
    <mergeCell ref="D9:E9"/>
    <mergeCell ref="F9:G9"/>
    <mergeCell ref="H9:I9"/>
    <mergeCell ref="A10:C10"/>
    <mergeCell ref="D10:E10"/>
    <mergeCell ref="F10:G10"/>
    <mergeCell ref="H10:I10"/>
    <mergeCell ref="A6:C6"/>
    <mergeCell ref="D6:J6"/>
    <mergeCell ref="A7:J7"/>
    <mergeCell ref="A8:C8"/>
    <mergeCell ref="D8:E8"/>
    <mergeCell ref="F8:G8"/>
    <mergeCell ref="H8:I8"/>
    <mergeCell ref="A13:C13"/>
    <mergeCell ref="D13:E13"/>
    <mergeCell ref="F13:G13"/>
    <mergeCell ref="H13:I13"/>
    <mergeCell ref="A14:C14"/>
    <mergeCell ref="D14:E14"/>
    <mergeCell ref="F14:G14"/>
    <mergeCell ref="H14:I14"/>
    <mergeCell ref="A11:C11"/>
    <mergeCell ref="D11:E11"/>
    <mergeCell ref="F11:G11"/>
    <mergeCell ref="H11:I11"/>
    <mergeCell ref="A12:C12"/>
    <mergeCell ref="D12:E12"/>
    <mergeCell ref="F12:G12"/>
    <mergeCell ref="H12:I12"/>
    <mergeCell ref="H17:I17"/>
    <mergeCell ref="A18:J18"/>
    <mergeCell ref="A19:C19"/>
    <mergeCell ref="H19:J40"/>
    <mergeCell ref="B20:C20"/>
    <mergeCell ref="B21:C21"/>
    <mergeCell ref="B22:C22"/>
    <mergeCell ref="A15:C15"/>
    <mergeCell ref="D15:E15"/>
    <mergeCell ref="F15:G15"/>
    <mergeCell ref="H15:I15"/>
    <mergeCell ref="A16:C16"/>
    <mergeCell ref="D16:E16"/>
    <mergeCell ref="F16:G16"/>
    <mergeCell ref="H16:I16"/>
    <mergeCell ref="A23:E23"/>
    <mergeCell ref="B24:E24"/>
    <mergeCell ref="A37:E37"/>
    <mergeCell ref="B38:E38"/>
    <mergeCell ref="B39:E39"/>
    <mergeCell ref="B40:E40"/>
    <mergeCell ref="A17:C17"/>
    <mergeCell ref="D17:E17"/>
    <mergeCell ref="F17:G17"/>
    <mergeCell ref="B45:E45"/>
    <mergeCell ref="B46:E46"/>
    <mergeCell ref="B47:E47"/>
    <mergeCell ref="A48:E48"/>
    <mergeCell ref="G48:J48"/>
    <mergeCell ref="B49:E49"/>
    <mergeCell ref="A41:E41"/>
    <mergeCell ref="G41:J41"/>
    <mergeCell ref="B42:E42"/>
    <mergeCell ref="B43:E43"/>
    <mergeCell ref="A44:E44"/>
    <mergeCell ref="G44:J44"/>
    <mergeCell ref="B56:E56"/>
    <mergeCell ref="B57:E57"/>
    <mergeCell ref="B58:E58"/>
    <mergeCell ref="B59:E59"/>
    <mergeCell ref="B60:E60"/>
    <mergeCell ref="B61:E61"/>
    <mergeCell ref="B50:E50"/>
    <mergeCell ref="B51:E51"/>
    <mergeCell ref="B52:E52"/>
    <mergeCell ref="B53:E53"/>
    <mergeCell ref="B54:E54"/>
    <mergeCell ref="B55:E55"/>
    <mergeCell ref="A68:B68"/>
    <mergeCell ref="C68:D68"/>
    <mergeCell ref="F68:H68"/>
    <mergeCell ref="A69:B69"/>
    <mergeCell ref="C69:D69"/>
    <mergeCell ref="F69:H69"/>
    <mergeCell ref="B62:E62"/>
    <mergeCell ref="B63:E63"/>
    <mergeCell ref="B64:E64"/>
    <mergeCell ref="A65:E65"/>
    <mergeCell ref="A66:J66"/>
    <mergeCell ref="A67:D67"/>
    <mergeCell ref="E67:H67"/>
    <mergeCell ref="I67:J67"/>
    <mergeCell ref="A72:J72"/>
    <mergeCell ref="A73:C74"/>
    <mergeCell ref="G73:H73"/>
    <mergeCell ref="J73:J76"/>
    <mergeCell ref="G74:H74"/>
    <mergeCell ref="A75:C76"/>
    <mergeCell ref="G75:H75"/>
    <mergeCell ref="G76:H76"/>
    <mergeCell ref="A70:B70"/>
    <mergeCell ref="C70:D70"/>
    <mergeCell ref="F70:H70"/>
    <mergeCell ref="A71:B71"/>
    <mergeCell ref="C71:D71"/>
    <mergeCell ref="F71:H71"/>
    <mergeCell ref="A77:J77"/>
    <mergeCell ref="A78:D78"/>
    <mergeCell ref="E78:F78"/>
    <mergeCell ref="G78:H78"/>
    <mergeCell ref="I78:J78"/>
    <mergeCell ref="A79:D79"/>
    <mergeCell ref="E79:F79"/>
    <mergeCell ref="G79:H79"/>
    <mergeCell ref="I79:J79"/>
  </mergeCells>
  <dataValidations count="3">
    <dataValidation type="list" allowBlank="1" showInputMessage="1" showErrorMessage="1" sqref="I69:I71" xr:uid="{4DC12515-C476-4CB4-BB05-F7B25490AC4D}">
      <formula1>"Abierta,Cerrada"</formula1>
    </dataValidation>
    <dataValidation type="list" allowBlank="1" showInputMessage="1" showErrorMessage="1" sqref="A69:B71" xr:uid="{14D7D6AE-486B-4B49-8ED3-AF5C0AC5B880}">
      <formula1>"AV,CI"</formula1>
    </dataValidation>
    <dataValidation type="list" allowBlank="1" showInputMessage="1" showErrorMessage="1" sqref="E69:E71" xr:uid="{CDD4DBF2-5F0F-4CB2-A900-3864AB573957}">
      <formula1>"Correctiva,Preventiva, Mejora"</formula1>
    </dataValidation>
  </dataValidations>
  <printOptions horizontalCentered="1" verticalCentered="1"/>
  <pageMargins left="0.11811023622047245" right="0.19685039370078741" top="0.15748031496062992" bottom="0.15748031496062992" header="0.31496062992125984" footer="0.31496062992125984"/>
  <pageSetup paperSize="9" scale="60" fitToHeight="2" orientation="portrait" horizontalDpi="360" verticalDpi="360" r:id="rId1"/>
  <rowBreaks count="1" manualBreakCount="1">
    <brk id="40" max="9"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BA88ADA-5230-4F7E-BEE2-AFDBC82EBFC7}">
          <x14:formula1>
            <xm:f>Trabajadores!$B$2:$B$165</xm:f>
          </x14:formula1>
          <xm:sqref>A8 D8 F8 H8 J8 A9 D9 F9 H9 J9 A10 D10 F10 H10 J10 A11 D11 F11 H11 J11 A12 D12 F12 H12 J12 A13 D13 F13 H13 J13 A14 D14 F14 H14 J14 A15 D15 F15 H15 J15 A16 D16 F16 H16 J16 A17 D17 F17 H17 J17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6B6F6-A8F8-45EE-BA3A-9C2A7B4195B2}">
  <sheetPr codeName="Hoja15"/>
  <dimension ref="A1:S79"/>
  <sheetViews>
    <sheetView showGridLines="0" zoomScaleNormal="100" zoomScaleSheetLayoutView="100" workbookViewId="0">
      <pane ySplit="1" topLeftCell="A65" activePane="bottomLeft" state="frozen"/>
      <selection pane="bottomLeft" activeCell="D75" sqref="D75:E75"/>
    </sheetView>
  </sheetViews>
  <sheetFormatPr baseColWidth="10" defaultColWidth="9.42578125" defaultRowHeight="15" x14ac:dyDescent="0.25"/>
  <cols>
    <col min="1" max="1" width="5.85546875" customWidth="1"/>
    <col min="2" max="2" width="11.140625" customWidth="1"/>
    <col min="3" max="3" width="9.42578125" customWidth="1"/>
    <col min="4" max="4" width="10.7109375" customWidth="1"/>
    <col min="5" max="5" width="18.140625" customWidth="1"/>
    <col min="6" max="6" width="15.28515625" customWidth="1"/>
    <col min="7" max="7" width="12.140625" customWidth="1"/>
    <col min="8" max="8" width="22.85546875" customWidth="1"/>
    <col min="9" max="9" width="12.7109375" customWidth="1"/>
    <col min="10" max="10" width="25.140625" customWidth="1"/>
    <col min="11" max="11" width="2.42578125" customWidth="1"/>
    <col min="19" max="19" width="9.42578125" style="3"/>
  </cols>
  <sheetData>
    <row r="1" spans="1:19" ht="63.6" customHeight="1" thickBot="1" x14ac:dyDescent="0.3">
      <c r="A1" s="81"/>
      <c r="B1" s="82"/>
      <c r="C1" s="82"/>
      <c r="D1" s="256" t="s">
        <v>189</v>
      </c>
      <c r="E1" s="256"/>
      <c r="F1" s="256"/>
      <c r="G1" s="256"/>
      <c r="H1" s="257"/>
      <c r="I1" s="258" t="s">
        <v>1</v>
      </c>
      <c r="J1" s="259"/>
    </row>
    <row r="2" spans="1:19" ht="28.35" customHeight="1" x14ac:dyDescent="0.25">
      <c r="A2" s="260" t="s">
        <v>190</v>
      </c>
      <c r="B2" s="261"/>
      <c r="C2" s="261"/>
      <c r="D2" s="262" t="s">
        <v>3</v>
      </c>
      <c r="E2" s="263"/>
      <c r="F2" s="83" t="s">
        <v>191</v>
      </c>
      <c r="G2" s="264">
        <v>45435</v>
      </c>
      <c r="H2" s="265"/>
      <c r="I2" s="84" t="s">
        <v>5</v>
      </c>
      <c r="J2" s="85">
        <v>0</v>
      </c>
      <c r="S2" s="3">
        <v>1</v>
      </c>
    </row>
    <row r="3" spans="1:19" ht="28.35" customHeight="1" x14ac:dyDescent="0.25">
      <c r="A3" s="246" t="s">
        <v>192</v>
      </c>
      <c r="B3" s="247"/>
      <c r="C3" s="247"/>
      <c r="D3" s="266" t="s">
        <v>209</v>
      </c>
      <c r="E3" s="267"/>
      <c r="F3" s="86" t="s">
        <v>193</v>
      </c>
      <c r="G3" s="268"/>
      <c r="H3" s="269"/>
      <c r="I3" s="86" t="s">
        <v>194</v>
      </c>
      <c r="J3" s="87"/>
      <c r="S3" s="3">
        <v>1</v>
      </c>
    </row>
    <row r="4" spans="1:19" ht="24.95" customHeight="1" x14ac:dyDescent="0.25">
      <c r="A4" s="246" t="s">
        <v>195</v>
      </c>
      <c r="B4" s="247"/>
      <c r="C4" s="247"/>
      <c r="D4" s="248" t="s">
        <v>9</v>
      </c>
      <c r="E4" s="248"/>
      <c r="F4" s="249" t="s">
        <v>196</v>
      </c>
      <c r="G4" s="251" t="s">
        <v>17</v>
      </c>
      <c r="H4" s="252"/>
      <c r="I4" s="252"/>
      <c r="J4" s="253"/>
      <c r="S4" s="3">
        <v>1</v>
      </c>
    </row>
    <row r="5" spans="1:19" ht="24.95" customHeight="1" x14ac:dyDescent="0.25">
      <c r="A5" s="246" t="s">
        <v>197</v>
      </c>
      <c r="B5" s="247"/>
      <c r="C5" s="247"/>
      <c r="D5" s="254" t="s">
        <v>210</v>
      </c>
      <c r="E5" s="255"/>
      <c r="F5" s="250"/>
      <c r="G5" s="251" t="s">
        <v>15</v>
      </c>
      <c r="H5" s="252"/>
      <c r="I5" s="252"/>
      <c r="J5" s="253"/>
      <c r="S5" s="3">
        <v>1</v>
      </c>
    </row>
    <row r="6" spans="1:19" ht="42.75" customHeight="1" thickBot="1" x14ac:dyDescent="0.3">
      <c r="A6" s="237" t="s">
        <v>198</v>
      </c>
      <c r="B6" s="238"/>
      <c r="C6" s="238"/>
      <c r="D6" s="239"/>
      <c r="E6" s="240"/>
      <c r="F6" s="240"/>
      <c r="G6" s="240"/>
      <c r="H6" s="240"/>
      <c r="I6" s="240"/>
      <c r="J6" s="241"/>
      <c r="S6" s="3">
        <v>1</v>
      </c>
    </row>
    <row r="7" spans="1:19" ht="26.25" customHeight="1" x14ac:dyDescent="0.25">
      <c r="A7" s="242" t="s">
        <v>199</v>
      </c>
      <c r="B7" s="243"/>
      <c r="C7" s="243"/>
      <c r="D7" s="244"/>
      <c r="E7" s="244"/>
      <c r="F7" s="244"/>
      <c r="G7" s="244"/>
      <c r="H7" s="244"/>
      <c r="I7" s="244"/>
      <c r="J7" s="245"/>
      <c r="S7" s="3">
        <v>1</v>
      </c>
    </row>
    <row r="8" spans="1:19" s="16" customFormat="1" ht="21" customHeight="1" x14ac:dyDescent="0.25">
      <c r="A8" s="230"/>
      <c r="B8" s="230"/>
      <c r="C8" s="230"/>
      <c r="D8" s="231"/>
      <c r="E8" s="231"/>
      <c r="F8" s="230"/>
      <c r="G8" s="230"/>
      <c r="H8" s="230"/>
      <c r="I8" s="230"/>
      <c r="J8" s="88"/>
      <c r="S8" s="3">
        <v>1</v>
      </c>
    </row>
    <row r="9" spans="1:19" s="16" customFormat="1" ht="21" customHeight="1" x14ac:dyDescent="0.25">
      <c r="A9" s="232"/>
      <c r="B9" s="233"/>
      <c r="C9" s="234"/>
      <c r="D9" s="235"/>
      <c r="E9" s="236"/>
      <c r="F9" s="232"/>
      <c r="G9" s="234"/>
      <c r="H9" s="232"/>
      <c r="I9" s="234"/>
      <c r="J9" s="88"/>
      <c r="S9" s="3">
        <v>1</v>
      </c>
    </row>
    <row r="10" spans="1:19" s="16" customFormat="1" ht="21" customHeight="1" x14ac:dyDescent="0.25">
      <c r="A10" s="232"/>
      <c r="B10" s="233"/>
      <c r="C10" s="234"/>
      <c r="D10" s="235"/>
      <c r="E10" s="236"/>
      <c r="F10" s="232"/>
      <c r="G10" s="234"/>
      <c r="H10" s="232"/>
      <c r="I10" s="234"/>
      <c r="J10" s="88"/>
      <c r="S10" s="3">
        <v>1</v>
      </c>
    </row>
    <row r="11" spans="1:19" s="16" customFormat="1" ht="21" customHeight="1" x14ac:dyDescent="0.25">
      <c r="A11" s="232"/>
      <c r="B11" s="233"/>
      <c r="C11" s="234"/>
      <c r="D11" s="235"/>
      <c r="E11" s="236"/>
      <c r="F11" s="232"/>
      <c r="G11" s="234"/>
      <c r="H11" s="232"/>
      <c r="I11" s="234"/>
      <c r="J11" s="88"/>
      <c r="S11" s="3">
        <v>1</v>
      </c>
    </row>
    <row r="12" spans="1:19" s="16" customFormat="1" ht="21" customHeight="1" x14ac:dyDescent="0.25">
      <c r="A12" s="230"/>
      <c r="B12" s="230"/>
      <c r="C12" s="230"/>
      <c r="D12" s="231"/>
      <c r="E12" s="231"/>
      <c r="F12" s="230"/>
      <c r="G12" s="230"/>
      <c r="H12" s="230"/>
      <c r="I12" s="230"/>
      <c r="J12" s="88"/>
      <c r="S12" s="3">
        <v>1</v>
      </c>
    </row>
    <row r="13" spans="1:19" s="16" customFormat="1" ht="21" customHeight="1" x14ac:dyDescent="0.25">
      <c r="A13" s="230"/>
      <c r="B13" s="230"/>
      <c r="C13" s="230"/>
      <c r="D13" s="231"/>
      <c r="E13" s="231"/>
      <c r="F13" s="230"/>
      <c r="G13" s="230"/>
      <c r="H13" s="230"/>
      <c r="I13" s="230"/>
      <c r="J13" s="88"/>
      <c r="S13" s="3">
        <v>1</v>
      </c>
    </row>
    <row r="14" spans="1:19" s="16" customFormat="1" ht="21" customHeight="1" x14ac:dyDescent="0.25">
      <c r="A14" s="230"/>
      <c r="B14" s="230"/>
      <c r="C14" s="230"/>
      <c r="D14" s="231"/>
      <c r="E14" s="231"/>
      <c r="F14" s="230"/>
      <c r="G14" s="230"/>
      <c r="H14" s="230"/>
      <c r="I14" s="230"/>
      <c r="J14" s="88"/>
      <c r="S14" s="3">
        <v>1</v>
      </c>
    </row>
    <row r="15" spans="1:19" s="16" customFormat="1" ht="21" customHeight="1" x14ac:dyDescent="0.25">
      <c r="A15" s="230"/>
      <c r="B15" s="230"/>
      <c r="C15" s="230"/>
      <c r="D15" s="231"/>
      <c r="E15" s="231"/>
      <c r="F15" s="230"/>
      <c r="G15" s="230"/>
      <c r="H15" s="230"/>
      <c r="I15" s="230"/>
      <c r="J15" s="88"/>
      <c r="S15" s="3">
        <v>1</v>
      </c>
    </row>
    <row r="16" spans="1:19" s="16" customFormat="1" ht="21" customHeight="1" x14ac:dyDescent="0.25">
      <c r="A16" s="230"/>
      <c r="B16" s="230"/>
      <c r="C16" s="230"/>
      <c r="D16" s="231"/>
      <c r="E16" s="231"/>
      <c r="F16" s="230"/>
      <c r="G16" s="230"/>
      <c r="H16" s="230"/>
      <c r="I16" s="230"/>
      <c r="J16" s="88"/>
      <c r="S16" s="3">
        <v>1</v>
      </c>
    </row>
    <row r="17" spans="1:19" s="16" customFormat="1" ht="21" customHeight="1" x14ac:dyDescent="0.25">
      <c r="A17" s="230"/>
      <c r="B17" s="230"/>
      <c r="C17" s="230"/>
      <c r="D17" s="231"/>
      <c r="E17" s="231"/>
      <c r="F17" s="230"/>
      <c r="G17" s="230"/>
      <c r="H17" s="230"/>
      <c r="I17" s="230"/>
      <c r="J17" s="88"/>
      <c r="S17" s="3">
        <v>1</v>
      </c>
    </row>
    <row r="18" spans="1:19" ht="27" customHeight="1" x14ac:dyDescent="0.25">
      <c r="A18" s="195" t="s">
        <v>18</v>
      </c>
      <c r="B18" s="196"/>
      <c r="C18" s="196"/>
      <c r="D18" s="197"/>
      <c r="E18" s="197"/>
      <c r="F18" s="197"/>
      <c r="G18" s="197"/>
      <c r="H18" s="197"/>
      <c r="I18" s="197"/>
      <c r="J18" s="198"/>
      <c r="S18" s="3">
        <v>1</v>
      </c>
    </row>
    <row r="19" spans="1:19" s="16" customFormat="1" ht="30.75" customHeight="1" x14ac:dyDescent="0.25">
      <c r="A19" s="172" t="s">
        <v>19</v>
      </c>
      <c r="B19" s="173"/>
      <c r="C19" s="174"/>
      <c r="D19" s="13" t="s">
        <v>20</v>
      </c>
      <c r="E19" s="13" t="s">
        <v>5</v>
      </c>
      <c r="F19" s="14" t="s">
        <v>21</v>
      </c>
      <c r="G19" s="15"/>
      <c r="H19" s="175"/>
      <c r="I19" s="175"/>
      <c r="J19" s="176"/>
      <c r="S19" s="3">
        <v>1</v>
      </c>
    </row>
    <row r="20" spans="1:19" s="16" customFormat="1" ht="30.6" customHeight="1" x14ac:dyDescent="0.25">
      <c r="A20" s="89" t="s">
        <v>22</v>
      </c>
      <c r="B20" s="179" t="s">
        <v>23</v>
      </c>
      <c r="C20" s="180"/>
      <c r="D20" s="90">
        <v>0</v>
      </c>
      <c r="E20" s="91">
        <v>0</v>
      </c>
      <c r="F20" s="92">
        <f>+(D20/60)*E20</f>
        <v>0</v>
      </c>
      <c r="G20" s="21"/>
      <c r="H20" s="177"/>
      <c r="I20" s="177"/>
      <c r="J20" s="178"/>
      <c r="S20" s="3">
        <v>1</v>
      </c>
    </row>
    <row r="21" spans="1:19" s="16" customFormat="1" ht="36.75" customHeight="1" x14ac:dyDescent="0.25">
      <c r="A21" s="89" t="s">
        <v>24</v>
      </c>
      <c r="B21" s="179" t="s">
        <v>25</v>
      </c>
      <c r="C21" s="180"/>
      <c r="D21" s="90">
        <v>0</v>
      </c>
      <c r="E21" s="91">
        <v>0</v>
      </c>
      <c r="F21" s="20">
        <f>(D21/60)*E21</f>
        <v>0</v>
      </c>
      <c r="G21" s="21"/>
      <c r="H21" s="177"/>
      <c r="I21" s="177"/>
      <c r="J21" s="178"/>
      <c r="S21" s="3">
        <v>1</v>
      </c>
    </row>
    <row r="22" spans="1:19" s="16" customFormat="1" ht="36.75" customHeight="1" x14ac:dyDescent="0.25">
      <c r="A22" s="89" t="s">
        <v>26</v>
      </c>
      <c r="B22" s="179" t="s">
        <v>27</v>
      </c>
      <c r="C22" s="180"/>
      <c r="D22" s="18">
        <v>0</v>
      </c>
      <c r="E22" s="19">
        <v>0</v>
      </c>
      <c r="F22" s="20">
        <f>(D22/60)*E22</f>
        <v>0</v>
      </c>
      <c r="G22" s="21"/>
      <c r="H22" s="177"/>
      <c r="I22" s="177"/>
      <c r="J22" s="178"/>
      <c r="S22" s="3">
        <v>1</v>
      </c>
    </row>
    <row r="23" spans="1:19" s="16" customFormat="1" ht="30" customHeight="1" x14ac:dyDescent="0.25">
      <c r="A23" s="172" t="s">
        <v>28</v>
      </c>
      <c r="B23" s="173"/>
      <c r="C23" s="173"/>
      <c r="D23" s="173"/>
      <c r="E23" s="181"/>
      <c r="F23" s="14" t="s">
        <v>29</v>
      </c>
      <c r="G23" s="22"/>
      <c r="H23" s="177"/>
      <c r="I23" s="177"/>
      <c r="J23" s="178"/>
      <c r="S23" s="3">
        <v>1</v>
      </c>
    </row>
    <row r="24" spans="1:19" s="16" customFormat="1" ht="20.100000000000001" customHeight="1" x14ac:dyDescent="0.25">
      <c r="A24" s="17">
        <v>2.1</v>
      </c>
      <c r="B24" s="153" t="s">
        <v>30</v>
      </c>
      <c r="C24" s="153"/>
      <c r="D24" s="153"/>
      <c r="E24" s="163"/>
      <c r="F24" s="93">
        <v>0</v>
      </c>
      <c r="G24" s="24"/>
      <c r="H24" s="177"/>
      <c r="I24" s="177"/>
      <c r="J24" s="178"/>
      <c r="S24" s="3">
        <v>1</v>
      </c>
    </row>
    <row r="25" spans="1:19" s="16" customFormat="1" ht="20.100000000000001" customHeight="1" x14ac:dyDescent="0.25">
      <c r="A25" s="17">
        <v>2.2000000000000002</v>
      </c>
      <c r="B25" s="25" t="s">
        <v>31</v>
      </c>
      <c r="C25" s="25"/>
      <c r="D25" s="25"/>
      <c r="E25" s="26"/>
      <c r="F25" s="93">
        <v>0</v>
      </c>
      <c r="G25" s="24"/>
      <c r="H25" s="177"/>
      <c r="I25" s="177"/>
      <c r="J25" s="178"/>
      <c r="S25" s="3">
        <v>1</v>
      </c>
    </row>
    <row r="26" spans="1:19" s="16" customFormat="1" ht="20.100000000000001" customHeight="1" x14ac:dyDescent="0.25">
      <c r="A26" s="17">
        <v>2.2999999999999998</v>
      </c>
      <c r="B26" s="25" t="s">
        <v>32</v>
      </c>
      <c r="C26" s="25"/>
      <c r="D26" s="25"/>
      <c r="E26" s="26"/>
      <c r="F26" s="94">
        <v>0</v>
      </c>
      <c r="G26" s="24"/>
      <c r="H26" s="177"/>
      <c r="I26" s="177"/>
      <c r="J26" s="178"/>
      <c r="S26" s="3">
        <v>1</v>
      </c>
    </row>
    <row r="27" spans="1:19" s="16" customFormat="1" ht="20.100000000000001" customHeight="1" x14ac:dyDescent="0.25">
      <c r="A27" s="17">
        <v>2.4</v>
      </c>
      <c r="B27" s="25" t="s">
        <v>33</v>
      </c>
      <c r="C27" s="25"/>
      <c r="D27" s="25"/>
      <c r="E27" s="26"/>
      <c r="F27" s="94">
        <v>0</v>
      </c>
      <c r="G27" s="24"/>
      <c r="H27" s="177"/>
      <c r="I27" s="177"/>
      <c r="J27" s="178"/>
      <c r="S27" s="3">
        <v>1</v>
      </c>
    </row>
    <row r="28" spans="1:19" s="16" customFormat="1" ht="20.100000000000001" customHeight="1" x14ac:dyDescent="0.25">
      <c r="A28" s="17">
        <v>2.5</v>
      </c>
      <c r="B28" s="25" t="s">
        <v>34</v>
      </c>
      <c r="C28" s="25"/>
      <c r="D28" s="25"/>
      <c r="E28" s="26"/>
      <c r="F28" s="94">
        <v>0</v>
      </c>
      <c r="G28" s="24"/>
      <c r="H28" s="177"/>
      <c r="I28" s="177"/>
      <c r="J28" s="178"/>
      <c r="S28" s="3">
        <v>1</v>
      </c>
    </row>
    <row r="29" spans="1:19" s="16" customFormat="1" ht="20.100000000000001" customHeight="1" x14ac:dyDescent="0.25">
      <c r="A29" s="17">
        <v>2.6</v>
      </c>
      <c r="B29" s="25" t="s">
        <v>35</v>
      </c>
      <c r="C29" s="25"/>
      <c r="D29" s="25"/>
      <c r="E29" s="26"/>
      <c r="F29" s="94">
        <v>0</v>
      </c>
      <c r="G29" s="24"/>
      <c r="H29" s="177"/>
      <c r="I29" s="177"/>
      <c r="J29" s="178"/>
      <c r="S29" s="3">
        <v>1</v>
      </c>
    </row>
    <row r="30" spans="1:19" s="16" customFormat="1" ht="20.100000000000001" customHeight="1" x14ac:dyDescent="0.25">
      <c r="A30" s="17">
        <v>2.7</v>
      </c>
      <c r="B30" s="25" t="s">
        <v>36</v>
      </c>
      <c r="C30" s="25"/>
      <c r="D30" s="25"/>
      <c r="E30" s="26"/>
      <c r="F30" s="94">
        <v>0</v>
      </c>
      <c r="G30" s="24"/>
      <c r="H30" s="177"/>
      <c r="I30" s="177"/>
      <c r="J30" s="178"/>
      <c r="S30" s="3">
        <v>1</v>
      </c>
    </row>
    <row r="31" spans="1:19" s="16" customFormat="1" ht="20.100000000000001" customHeight="1" x14ac:dyDescent="0.25">
      <c r="A31" s="17">
        <v>2.8</v>
      </c>
      <c r="B31" s="25" t="s">
        <v>37</v>
      </c>
      <c r="C31" s="25"/>
      <c r="D31" s="25"/>
      <c r="E31" s="26"/>
      <c r="F31" s="94">
        <v>0</v>
      </c>
      <c r="G31" s="24"/>
      <c r="H31" s="177"/>
      <c r="I31" s="177"/>
      <c r="J31" s="178"/>
      <c r="S31" s="3">
        <v>1</v>
      </c>
    </row>
    <row r="32" spans="1:19" s="16" customFormat="1" ht="20.100000000000001" customHeight="1" x14ac:dyDescent="0.25">
      <c r="A32" s="17">
        <v>2.9</v>
      </c>
      <c r="B32" s="25" t="s">
        <v>38</v>
      </c>
      <c r="C32" s="25"/>
      <c r="D32" s="25"/>
      <c r="E32" s="26"/>
      <c r="F32" s="94">
        <v>0</v>
      </c>
      <c r="G32" s="24"/>
      <c r="H32" s="177"/>
      <c r="I32" s="177"/>
      <c r="J32" s="178"/>
      <c r="S32" s="3">
        <v>1</v>
      </c>
    </row>
    <row r="33" spans="1:19" s="16" customFormat="1" ht="20.100000000000001" customHeight="1" x14ac:dyDescent="0.25">
      <c r="A33" s="28" t="s">
        <v>39</v>
      </c>
      <c r="B33" s="25" t="s">
        <v>40</v>
      </c>
      <c r="C33" s="25"/>
      <c r="D33" s="25"/>
      <c r="E33" s="26"/>
      <c r="F33" s="94">
        <v>0</v>
      </c>
      <c r="G33" s="24"/>
      <c r="H33" s="177"/>
      <c r="I33" s="177"/>
      <c r="J33" s="178"/>
      <c r="S33" s="3">
        <v>1</v>
      </c>
    </row>
    <row r="34" spans="1:19" s="16" customFormat="1" ht="20.100000000000001" customHeight="1" x14ac:dyDescent="0.25">
      <c r="A34" s="17">
        <v>2.11</v>
      </c>
      <c r="B34" s="25" t="s">
        <v>41</v>
      </c>
      <c r="C34" s="25"/>
      <c r="D34" s="25"/>
      <c r="E34" s="26"/>
      <c r="F34" s="94">
        <v>0</v>
      </c>
      <c r="G34" s="24"/>
      <c r="H34" s="177"/>
      <c r="I34" s="177"/>
      <c r="J34" s="178"/>
      <c r="S34" s="3">
        <v>1</v>
      </c>
    </row>
    <row r="35" spans="1:19" s="16" customFormat="1" ht="20.100000000000001" customHeight="1" x14ac:dyDescent="0.25">
      <c r="A35" s="17">
        <v>2.12</v>
      </c>
      <c r="B35" s="25" t="s">
        <v>42</v>
      </c>
      <c r="C35" s="25"/>
      <c r="D35" s="25"/>
      <c r="E35" s="26"/>
      <c r="F35" s="94">
        <v>0</v>
      </c>
      <c r="G35" s="24"/>
      <c r="H35" s="177"/>
      <c r="I35" s="177"/>
      <c r="J35" s="178"/>
      <c r="S35" s="3">
        <v>1</v>
      </c>
    </row>
    <row r="36" spans="1:19" s="16" customFormat="1" ht="20.100000000000001" customHeight="1" x14ac:dyDescent="0.25">
      <c r="A36" s="17">
        <v>2.13</v>
      </c>
      <c r="B36" s="25" t="s">
        <v>43</v>
      </c>
      <c r="C36" s="25"/>
      <c r="D36" s="25"/>
      <c r="E36" s="26"/>
      <c r="F36" s="94">
        <v>0</v>
      </c>
      <c r="G36" s="24"/>
      <c r="H36" s="177"/>
      <c r="I36" s="177"/>
      <c r="J36" s="178"/>
      <c r="S36" s="3">
        <v>1</v>
      </c>
    </row>
    <row r="37" spans="1:19" s="16" customFormat="1" ht="25.5" customHeight="1" x14ac:dyDescent="0.25">
      <c r="A37" s="225" t="s">
        <v>44</v>
      </c>
      <c r="B37" s="226"/>
      <c r="C37" s="226"/>
      <c r="D37" s="226"/>
      <c r="E37" s="227"/>
      <c r="F37" s="29">
        <f>SUM(F24:F36)</f>
        <v>0</v>
      </c>
      <c r="G37" s="30"/>
      <c r="H37" s="177"/>
      <c r="I37" s="177"/>
      <c r="J37" s="178"/>
      <c r="S37" s="3">
        <v>1</v>
      </c>
    </row>
    <row r="38" spans="1:19" s="16" customFormat="1" ht="24.75" customHeight="1" x14ac:dyDescent="0.25">
      <c r="A38" s="95" t="s">
        <v>45</v>
      </c>
      <c r="B38" s="228" t="s">
        <v>46</v>
      </c>
      <c r="C38" s="228"/>
      <c r="D38" s="228"/>
      <c r="E38" s="228"/>
      <c r="F38" s="96">
        <v>0</v>
      </c>
      <c r="G38" s="22"/>
      <c r="H38" s="177"/>
      <c r="I38" s="177"/>
      <c r="J38" s="178"/>
      <c r="S38" s="3">
        <v>1</v>
      </c>
    </row>
    <row r="39" spans="1:19" s="16" customFormat="1" ht="25.5" customHeight="1" x14ac:dyDescent="0.25">
      <c r="A39" s="97" t="s">
        <v>47</v>
      </c>
      <c r="B39" s="229" t="s">
        <v>48</v>
      </c>
      <c r="C39" s="229"/>
      <c r="D39" s="229"/>
      <c r="E39" s="229"/>
      <c r="F39" s="98">
        <v>0</v>
      </c>
      <c r="G39" s="33"/>
      <c r="H39" s="177"/>
      <c r="I39" s="177"/>
      <c r="J39" s="178"/>
      <c r="S39" s="3">
        <v>1</v>
      </c>
    </row>
    <row r="40" spans="1:19" s="16" customFormat="1" ht="30.75" customHeight="1" thickBot="1" x14ac:dyDescent="0.3">
      <c r="A40" s="97" t="s">
        <v>49</v>
      </c>
      <c r="B40" s="229" t="s">
        <v>50</v>
      </c>
      <c r="C40" s="229"/>
      <c r="D40" s="229"/>
      <c r="E40" s="229"/>
      <c r="F40" s="98">
        <v>0</v>
      </c>
      <c r="G40" s="22"/>
      <c r="H40" s="177"/>
      <c r="I40" s="177"/>
      <c r="J40" s="178"/>
      <c r="S40" s="3">
        <v>1</v>
      </c>
    </row>
    <row r="41" spans="1:19" ht="35.25" customHeight="1" x14ac:dyDescent="0.25">
      <c r="A41" s="170" t="s">
        <v>51</v>
      </c>
      <c r="B41" s="171"/>
      <c r="C41" s="171"/>
      <c r="D41" s="171"/>
      <c r="E41" s="171"/>
      <c r="F41" s="99" t="s">
        <v>52</v>
      </c>
      <c r="G41" s="167"/>
      <c r="H41" s="167"/>
      <c r="I41" s="167"/>
      <c r="J41" s="168"/>
      <c r="L41" s="16"/>
      <c r="M41" s="16"/>
      <c r="N41" s="16"/>
      <c r="S41" s="3">
        <v>1</v>
      </c>
    </row>
    <row r="42" spans="1:19" ht="36.75" customHeight="1" x14ac:dyDescent="0.25">
      <c r="A42" s="100" t="s">
        <v>200</v>
      </c>
      <c r="B42" s="223" t="s">
        <v>201</v>
      </c>
      <c r="C42" s="223"/>
      <c r="D42" s="223"/>
      <c r="E42" s="223"/>
      <c r="F42" s="101">
        <v>0</v>
      </c>
      <c r="G42" s="37"/>
      <c r="H42" s="38"/>
      <c r="I42" s="38"/>
      <c r="J42" s="39"/>
      <c r="K42" s="40"/>
      <c r="L42" s="16"/>
      <c r="M42" s="16"/>
      <c r="N42" s="16"/>
      <c r="S42" s="3">
        <v>1</v>
      </c>
    </row>
    <row r="43" spans="1:19" ht="36.75" customHeight="1" thickBot="1" x14ac:dyDescent="0.3">
      <c r="A43" s="102" t="s">
        <v>202</v>
      </c>
      <c r="B43" s="224" t="s">
        <v>54</v>
      </c>
      <c r="C43" s="224"/>
      <c r="D43" s="224"/>
      <c r="E43" s="224"/>
      <c r="F43" s="103">
        <v>0</v>
      </c>
      <c r="G43" s="43"/>
      <c r="H43" s="44"/>
      <c r="I43" s="44"/>
      <c r="J43" s="45"/>
      <c r="K43" s="40"/>
      <c r="L43" s="16"/>
      <c r="M43" s="16"/>
      <c r="N43" s="16"/>
      <c r="S43" s="3">
        <v>1</v>
      </c>
    </row>
    <row r="44" spans="1:19" ht="37.5" customHeight="1" x14ac:dyDescent="0.25">
      <c r="A44" s="170" t="s">
        <v>55</v>
      </c>
      <c r="B44" s="171"/>
      <c r="C44" s="171"/>
      <c r="D44" s="171"/>
      <c r="E44" s="171"/>
      <c r="F44" s="104" t="s">
        <v>56</v>
      </c>
      <c r="G44" s="167"/>
      <c r="H44" s="167"/>
      <c r="I44" s="167"/>
      <c r="J44" s="168"/>
      <c r="K44" s="40"/>
      <c r="L44" s="16"/>
      <c r="M44" s="16"/>
      <c r="N44" s="16"/>
      <c r="S44" s="3">
        <v>1</v>
      </c>
    </row>
    <row r="45" spans="1:19" ht="28.5" customHeight="1" x14ac:dyDescent="0.25">
      <c r="A45" s="105" t="s">
        <v>203</v>
      </c>
      <c r="B45" s="223" t="s">
        <v>57</v>
      </c>
      <c r="C45" s="223"/>
      <c r="D45" s="223"/>
      <c r="E45" s="223"/>
      <c r="F45" s="106">
        <v>0</v>
      </c>
      <c r="G45" s="47"/>
      <c r="H45" s="48"/>
      <c r="I45" s="48"/>
      <c r="J45" s="49"/>
      <c r="K45" s="40"/>
      <c r="L45" s="16"/>
      <c r="M45" s="16"/>
      <c r="N45" s="16"/>
      <c r="S45" s="3">
        <v>1</v>
      </c>
    </row>
    <row r="46" spans="1:19" ht="30.75" customHeight="1" x14ac:dyDescent="0.25">
      <c r="A46" s="105" t="s">
        <v>204</v>
      </c>
      <c r="B46" s="224" t="s">
        <v>58</v>
      </c>
      <c r="C46" s="224"/>
      <c r="D46" s="224"/>
      <c r="E46" s="224"/>
      <c r="F46" s="106">
        <v>0</v>
      </c>
      <c r="G46" s="47"/>
      <c r="H46" s="48"/>
      <c r="I46" s="48"/>
      <c r="J46" s="49"/>
      <c r="K46" s="40"/>
      <c r="L46" s="16"/>
      <c r="M46" s="16"/>
      <c r="N46" s="16"/>
      <c r="S46" s="3">
        <v>1</v>
      </c>
    </row>
    <row r="47" spans="1:19" ht="30.75" customHeight="1" thickBot="1" x14ac:dyDescent="0.3">
      <c r="A47" s="105" t="s">
        <v>205</v>
      </c>
      <c r="B47" s="224" t="s">
        <v>59</v>
      </c>
      <c r="C47" s="224"/>
      <c r="D47" s="224"/>
      <c r="E47" s="224"/>
      <c r="F47" s="106">
        <v>0</v>
      </c>
      <c r="G47" s="50"/>
      <c r="H47" s="44"/>
      <c r="I47" s="44"/>
      <c r="J47" s="45"/>
      <c r="K47" s="40"/>
      <c r="L47" s="16"/>
      <c r="M47" s="16"/>
      <c r="N47" s="16"/>
      <c r="S47" s="3">
        <v>1</v>
      </c>
    </row>
    <row r="48" spans="1:19" ht="31.5" customHeight="1" x14ac:dyDescent="0.25">
      <c r="A48" s="170" t="s">
        <v>60</v>
      </c>
      <c r="B48" s="171"/>
      <c r="C48" s="171"/>
      <c r="D48" s="171"/>
      <c r="E48" s="171"/>
      <c r="F48" s="104" t="s">
        <v>52</v>
      </c>
      <c r="G48" s="167"/>
      <c r="H48" s="167"/>
      <c r="I48" s="167"/>
      <c r="J48" s="168"/>
      <c r="K48" s="40"/>
      <c r="L48" s="16"/>
      <c r="M48" s="16"/>
      <c r="N48" s="16"/>
      <c r="S48" s="3">
        <v>1</v>
      </c>
    </row>
    <row r="49" spans="1:19" ht="20.100000000000001" customHeight="1" x14ac:dyDescent="0.25">
      <c r="A49" s="17">
        <v>5.0999999999999996</v>
      </c>
      <c r="B49" s="153" t="s">
        <v>61</v>
      </c>
      <c r="C49" s="153"/>
      <c r="D49" s="153"/>
      <c r="E49" s="163"/>
      <c r="F49" s="107">
        <v>0</v>
      </c>
      <c r="G49" s="33"/>
      <c r="H49" s="48"/>
      <c r="I49" s="48"/>
      <c r="J49" s="49"/>
      <c r="K49" s="40"/>
      <c r="S49" s="3">
        <v>1</v>
      </c>
    </row>
    <row r="50" spans="1:19" ht="20.100000000000001" customHeight="1" x14ac:dyDescent="0.25">
      <c r="A50" s="17">
        <v>5.2</v>
      </c>
      <c r="B50" s="153" t="s">
        <v>62</v>
      </c>
      <c r="C50" s="153"/>
      <c r="D50" s="153"/>
      <c r="E50" s="163"/>
      <c r="F50" s="107">
        <v>0</v>
      </c>
      <c r="G50" s="33"/>
      <c r="H50" s="48"/>
      <c r="I50" s="48"/>
      <c r="J50" s="49"/>
      <c r="K50" s="40"/>
      <c r="S50" s="3">
        <v>1</v>
      </c>
    </row>
    <row r="51" spans="1:19" ht="20.100000000000001" customHeight="1" x14ac:dyDescent="0.25">
      <c r="A51" s="17">
        <v>5.3</v>
      </c>
      <c r="B51" s="153" t="s">
        <v>63</v>
      </c>
      <c r="C51" s="153"/>
      <c r="D51" s="153"/>
      <c r="E51" s="163"/>
      <c r="F51" s="107">
        <v>0</v>
      </c>
      <c r="G51" s="33"/>
      <c r="H51" s="48"/>
      <c r="I51" s="48"/>
      <c r="J51" s="49"/>
      <c r="K51" s="40"/>
      <c r="S51" s="3">
        <v>1</v>
      </c>
    </row>
    <row r="52" spans="1:19" ht="20.100000000000001" customHeight="1" x14ac:dyDescent="0.25">
      <c r="A52" s="17">
        <v>5.4</v>
      </c>
      <c r="B52" s="153" t="s">
        <v>64</v>
      </c>
      <c r="C52" s="153"/>
      <c r="D52" s="153"/>
      <c r="E52" s="163"/>
      <c r="F52" s="107">
        <v>0</v>
      </c>
      <c r="G52" s="33"/>
      <c r="H52" s="48"/>
      <c r="I52" s="48"/>
      <c r="J52" s="49"/>
      <c r="K52" s="40"/>
      <c r="S52" s="3">
        <v>1</v>
      </c>
    </row>
    <row r="53" spans="1:19" ht="20.100000000000001" customHeight="1" x14ac:dyDescent="0.25">
      <c r="A53" s="17">
        <v>5.5</v>
      </c>
      <c r="B53" s="153" t="s">
        <v>65</v>
      </c>
      <c r="C53" s="153"/>
      <c r="D53" s="153"/>
      <c r="E53" s="163"/>
      <c r="F53" s="107">
        <v>0</v>
      </c>
      <c r="G53" s="33"/>
      <c r="H53" s="48"/>
      <c r="I53" s="48"/>
      <c r="J53" s="49"/>
      <c r="K53" s="40"/>
      <c r="S53" s="3">
        <v>1</v>
      </c>
    </row>
    <row r="54" spans="1:19" ht="20.100000000000001" customHeight="1" x14ac:dyDescent="0.25">
      <c r="A54" s="17">
        <v>5.6</v>
      </c>
      <c r="B54" s="153" t="s">
        <v>66</v>
      </c>
      <c r="C54" s="153"/>
      <c r="D54" s="153"/>
      <c r="E54" s="163"/>
      <c r="F54" s="107">
        <v>0</v>
      </c>
      <c r="G54" s="33"/>
      <c r="H54" s="48"/>
      <c r="I54" s="48"/>
      <c r="J54" s="49"/>
      <c r="K54" s="40"/>
      <c r="S54" s="3">
        <v>1</v>
      </c>
    </row>
    <row r="55" spans="1:19" ht="20.100000000000001" customHeight="1" x14ac:dyDescent="0.25">
      <c r="A55" s="17">
        <v>5.7</v>
      </c>
      <c r="B55" s="153" t="s">
        <v>67</v>
      </c>
      <c r="C55" s="153"/>
      <c r="D55" s="153"/>
      <c r="E55" s="163"/>
      <c r="F55" s="107">
        <v>0</v>
      </c>
      <c r="G55" s="33"/>
      <c r="H55" s="48"/>
      <c r="I55" s="48"/>
      <c r="J55" s="49"/>
      <c r="K55" s="40"/>
      <c r="S55" s="3">
        <v>1</v>
      </c>
    </row>
    <row r="56" spans="1:19" ht="20.100000000000001" customHeight="1" x14ac:dyDescent="0.25">
      <c r="A56" s="17">
        <v>5.8</v>
      </c>
      <c r="B56" s="153" t="s">
        <v>68</v>
      </c>
      <c r="C56" s="153"/>
      <c r="D56" s="153"/>
      <c r="E56" s="163"/>
      <c r="F56" s="107">
        <v>0</v>
      </c>
      <c r="G56" s="33"/>
      <c r="H56" s="48"/>
      <c r="I56" s="48"/>
      <c r="J56" s="49"/>
      <c r="K56" s="40"/>
      <c r="S56" s="3">
        <v>1</v>
      </c>
    </row>
    <row r="57" spans="1:19" ht="20.100000000000001" customHeight="1" x14ac:dyDescent="0.25">
      <c r="A57" s="17">
        <v>5.9</v>
      </c>
      <c r="B57" s="153" t="s">
        <v>69</v>
      </c>
      <c r="C57" s="153"/>
      <c r="D57" s="153"/>
      <c r="E57" s="163"/>
      <c r="F57" s="107">
        <v>0</v>
      </c>
      <c r="G57" s="33"/>
      <c r="H57" s="48"/>
      <c r="I57" s="48"/>
      <c r="J57" s="49"/>
      <c r="K57" s="40"/>
      <c r="S57" s="3">
        <v>1</v>
      </c>
    </row>
    <row r="58" spans="1:19" ht="20.100000000000001" customHeight="1" x14ac:dyDescent="0.25">
      <c r="A58" s="17" t="s">
        <v>70</v>
      </c>
      <c r="B58" s="153" t="s">
        <v>71</v>
      </c>
      <c r="C58" s="153"/>
      <c r="D58" s="153"/>
      <c r="E58" s="163"/>
      <c r="F58" s="107">
        <v>0</v>
      </c>
      <c r="G58" s="33"/>
      <c r="H58" s="48"/>
      <c r="I58" s="48"/>
      <c r="J58" s="49"/>
      <c r="K58" s="40"/>
      <c r="S58" s="3">
        <v>1</v>
      </c>
    </row>
    <row r="59" spans="1:19" ht="20.100000000000001" customHeight="1" x14ac:dyDescent="0.25">
      <c r="A59" s="17" t="s">
        <v>72</v>
      </c>
      <c r="B59" s="153" t="s">
        <v>73</v>
      </c>
      <c r="C59" s="153"/>
      <c r="D59" s="153"/>
      <c r="E59" s="163"/>
      <c r="F59" s="107">
        <v>0</v>
      </c>
      <c r="G59" s="33"/>
      <c r="H59" s="48"/>
      <c r="I59" s="48"/>
      <c r="J59" s="49"/>
      <c r="K59" s="40"/>
      <c r="S59" s="3">
        <v>1</v>
      </c>
    </row>
    <row r="60" spans="1:19" ht="20.100000000000001" customHeight="1" x14ac:dyDescent="0.25">
      <c r="A60" s="17" t="s">
        <v>74</v>
      </c>
      <c r="B60" s="153" t="s">
        <v>75</v>
      </c>
      <c r="C60" s="153"/>
      <c r="D60" s="153"/>
      <c r="E60" s="153"/>
      <c r="F60" s="36">
        <f>SUM(F61:F63)</f>
        <v>0</v>
      </c>
      <c r="G60" s="33"/>
      <c r="H60" s="48"/>
      <c r="I60" s="48"/>
      <c r="J60" s="49"/>
      <c r="K60" s="40"/>
      <c r="S60" s="3">
        <v>1</v>
      </c>
    </row>
    <row r="61" spans="1:19" ht="20.100000000000001" customHeight="1" x14ac:dyDescent="0.25">
      <c r="A61" s="17" t="s">
        <v>76</v>
      </c>
      <c r="B61" s="153" t="s">
        <v>77</v>
      </c>
      <c r="C61" s="153"/>
      <c r="D61" s="153"/>
      <c r="E61" s="153"/>
      <c r="F61" s="107">
        <v>0</v>
      </c>
      <c r="G61" s="33"/>
      <c r="H61" s="48"/>
      <c r="I61" s="48"/>
      <c r="J61" s="49"/>
      <c r="K61" s="40"/>
      <c r="S61" s="3">
        <v>1</v>
      </c>
    </row>
    <row r="62" spans="1:19" ht="20.100000000000001" customHeight="1" x14ac:dyDescent="0.25">
      <c r="A62" s="17" t="s">
        <v>78</v>
      </c>
      <c r="B62" s="153" t="s">
        <v>79</v>
      </c>
      <c r="C62" s="153"/>
      <c r="D62" s="153"/>
      <c r="E62" s="153"/>
      <c r="F62" s="107">
        <v>0</v>
      </c>
      <c r="G62" s="33"/>
      <c r="H62" s="48"/>
      <c r="I62" s="48"/>
      <c r="J62" s="49"/>
      <c r="K62" s="40"/>
      <c r="S62" s="3">
        <v>1</v>
      </c>
    </row>
    <row r="63" spans="1:19" ht="20.100000000000001" customHeight="1" x14ac:dyDescent="0.25">
      <c r="A63" s="17" t="s">
        <v>80</v>
      </c>
      <c r="B63" s="153" t="s">
        <v>81</v>
      </c>
      <c r="C63" s="153"/>
      <c r="D63" s="153"/>
      <c r="E63" s="153"/>
      <c r="F63" s="107">
        <v>0</v>
      </c>
      <c r="G63" s="33"/>
      <c r="H63" s="48"/>
      <c r="I63" s="48"/>
      <c r="J63" s="49"/>
      <c r="K63" s="40"/>
      <c r="S63" s="3">
        <v>1</v>
      </c>
    </row>
    <row r="64" spans="1:19" ht="20.100000000000001" customHeight="1" x14ac:dyDescent="0.25">
      <c r="A64" s="17">
        <v>5.13</v>
      </c>
      <c r="B64" s="153" t="s">
        <v>82</v>
      </c>
      <c r="C64" s="153"/>
      <c r="D64" s="153"/>
      <c r="E64" s="153"/>
      <c r="F64" s="107">
        <v>0</v>
      </c>
      <c r="G64" s="33"/>
      <c r="H64" s="48"/>
      <c r="I64" s="48"/>
      <c r="J64" s="49"/>
      <c r="K64" s="40"/>
      <c r="S64" s="3">
        <v>1</v>
      </c>
    </row>
    <row r="65" spans="1:19" ht="25.5" customHeight="1" thickBot="1" x14ac:dyDescent="0.3">
      <c r="A65" s="154" t="s">
        <v>83</v>
      </c>
      <c r="B65" s="155"/>
      <c r="C65" s="155"/>
      <c r="D65" s="155"/>
      <c r="E65" s="156"/>
      <c r="F65" s="29">
        <f>SUM(F49:F64)-F60</f>
        <v>0</v>
      </c>
      <c r="G65" s="43"/>
      <c r="H65" s="44"/>
      <c r="I65" s="44"/>
      <c r="J65" s="45"/>
      <c r="K65" s="40"/>
      <c r="S65" s="3">
        <v>1</v>
      </c>
    </row>
    <row r="66" spans="1:19" ht="30.75" customHeight="1" x14ac:dyDescent="0.25">
      <c r="A66" s="108" t="s">
        <v>84</v>
      </c>
      <c r="B66" s="109"/>
      <c r="C66" s="109"/>
      <c r="D66" s="109"/>
      <c r="E66" s="109"/>
      <c r="F66" s="109"/>
      <c r="G66" s="109"/>
      <c r="H66" s="109"/>
      <c r="I66" s="109"/>
      <c r="J66" s="121"/>
      <c r="S66" s="3">
        <v>1</v>
      </c>
    </row>
    <row r="67" spans="1:19" s="55" customFormat="1" ht="28.35" customHeight="1" x14ac:dyDescent="0.25">
      <c r="A67" s="157" t="s">
        <v>85</v>
      </c>
      <c r="B67" s="158"/>
      <c r="C67" s="158"/>
      <c r="D67" s="159"/>
      <c r="E67" s="128" t="s">
        <v>86</v>
      </c>
      <c r="F67" s="160"/>
      <c r="G67" s="160"/>
      <c r="H67" s="129"/>
      <c r="I67" s="161" t="s">
        <v>87</v>
      </c>
      <c r="J67" s="162"/>
      <c r="S67" s="3">
        <v>1</v>
      </c>
    </row>
    <row r="68" spans="1:19" s="58" customFormat="1" ht="25.5" x14ac:dyDescent="0.25">
      <c r="A68" s="151" t="s">
        <v>88</v>
      </c>
      <c r="B68" s="152"/>
      <c r="C68" s="152" t="s">
        <v>89</v>
      </c>
      <c r="D68" s="152"/>
      <c r="E68" s="56" t="s">
        <v>90</v>
      </c>
      <c r="F68" s="152" t="s">
        <v>91</v>
      </c>
      <c r="G68" s="152"/>
      <c r="H68" s="152"/>
      <c r="I68" s="56" t="s">
        <v>206</v>
      </c>
      <c r="J68" s="57" t="s">
        <v>93</v>
      </c>
      <c r="S68" s="3">
        <v>1</v>
      </c>
    </row>
    <row r="69" spans="1:19" s="58" customFormat="1" ht="36" customHeight="1" x14ac:dyDescent="0.25">
      <c r="A69" s="144" t="s">
        <v>207</v>
      </c>
      <c r="B69" s="145"/>
      <c r="C69" s="146"/>
      <c r="D69" s="145"/>
      <c r="E69" s="59" t="s">
        <v>208</v>
      </c>
      <c r="F69" s="147"/>
      <c r="G69" s="147"/>
      <c r="H69" s="147"/>
      <c r="I69" s="60"/>
      <c r="J69" s="61"/>
      <c r="S69" s="3">
        <v>1</v>
      </c>
    </row>
    <row r="70" spans="1:19" s="58" customFormat="1" ht="36" customHeight="1" x14ac:dyDescent="0.25">
      <c r="A70" s="144"/>
      <c r="B70" s="145"/>
      <c r="C70" s="146"/>
      <c r="D70" s="145"/>
      <c r="E70" s="59"/>
      <c r="F70" s="147"/>
      <c r="G70" s="147"/>
      <c r="H70" s="147"/>
      <c r="I70" s="60"/>
      <c r="J70" s="61"/>
      <c r="S70" s="3">
        <v>1</v>
      </c>
    </row>
    <row r="71" spans="1:19" s="58" customFormat="1" ht="36" customHeight="1" thickBot="1" x14ac:dyDescent="0.3">
      <c r="A71" s="144"/>
      <c r="B71" s="145"/>
      <c r="C71" s="148"/>
      <c r="D71" s="149"/>
      <c r="E71" s="59"/>
      <c r="F71" s="150"/>
      <c r="G71" s="150"/>
      <c r="H71" s="150"/>
      <c r="I71" s="63"/>
      <c r="J71" s="64"/>
      <c r="S71" s="3">
        <v>1</v>
      </c>
    </row>
    <row r="72" spans="1:19" ht="27.75" customHeight="1" x14ac:dyDescent="0.25">
      <c r="A72" s="108" t="s">
        <v>94</v>
      </c>
      <c r="B72" s="109"/>
      <c r="C72" s="109"/>
      <c r="D72" s="109"/>
      <c r="E72" s="109"/>
      <c r="F72" s="109"/>
      <c r="G72" s="109"/>
      <c r="H72" s="109"/>
      <c r="I72" s="109"/>
      <c r="J72" s="121"/>
      <c r="S72" s="3">
        <v>1</v>
      </c>
    </row>
    <row r="73" spans="1:19" s="58" customFormat="1" ht="43.5" customHeight="1" x14ac:dyDescent="0.25">
      <c r="A73" s="122" t="s">
        <v>95</v>
      </c>
      <c r="B73" s="123"/>
      <c r="C73" s="124"/>
      <c r="D73" s="56" t="s">
        <v>96</v>
      </c>
      <c r="E73" s="19" t="s">
        <v>97</v>
      </c>
      <c r="F73" s="19" t="s">
        <v>98</v>
      </c>
      <c r="G73" s="128" t="s">
        <v>99</v>
      </c>
      <c r="H73" s="129"/>
      <c r="I73" s="56" t="s">
        <v>100</v>
      </c>
      <c r="J73" s="130"/>
      <c r="S73" s="3">
        <v>1</v>
      </c>
    </row>
    <row r="74" spans="1:19" s="58" customFormat="1" ht="24.95" customHeight="1" x14ac:dyDescent="0.25">
      <c r="A74" s="125"/>
      <c r="B74" s="126"/>
      <c r="C74" s="127"/>
      <c r="D74" s="65">
        <v>0</v>
      </c>
      <c r="E74" s="65">
        <v>0</v>
      </c>
      <c r="F74" s="65">
        <v>0</v>
      </c>
      <c r="G74" s="132">
        <v>0</v>
      </c>
      <c r="H74" s="133"/>
      <c r="I74" s="66">
        <f>SUM(D74:H74)</f>
        <v>0</v>
      </c>
      <c r="J74" s="130"/>
      <c r="S74" s="3">
        <v>1</v>
      </c>
    </row>
    <row r="75" spans="1:19" s="58" customFormat="1" ht="24" customHeight="1" x14ac:dyDescent="0.25">
      <c r="A75" s="134" t="s">
        <v>101</v>
      </c>
      <c r="B75" s="135"/>
      <c r="C75" s="136"/>
      <c r="D75" s="67" t="s">
        <v>102</v>
      </c>
      <c r="E75" s="67" t="s">
        <v>103</v>
      </c>
      <c r="F75" s="68"/>
      <c r="G75" s="140"/>
      <c r="H75" s="141"/>
      <c r="I75" s="68"/>
      <c r="J75" s="130"/>
      <c r="S75" s="3">
        <v>1</v>
      </c>
    </row>
    <row r="76" spans="1:19" s="58" customFormat="1" ht="24.95" customHeight="1" thickBot="1" x14ac:dyDescent="0.3">
      <c r="A76" s="137"/>
      <c r="B76" s="138"/>
      <c r="C76" s="139"/>
      <c r="D76" s="69">
        <v>0</v>
      </c>
      <c r="E76" s="69">
        <v>0</v>
      </c>
      <c r="F76" s="69"/>
      <c r="G76" s="142"/>
      <c r="H76" s="143"/>
      <c r="I76" s="70">
        <f>SUM(D76:H76)</f>
        <v>0</v>
      </c>
      <c r="J76" s="131"/>
      <c r="S76" s="3">
        <v>1</v>
      </c>
    </row>
    <row r="77" spans="1:19" ht="30" customHeight="1" thickBot="1" x14ac:dyDescent="0.3">
      <c r="A77" s="209" t="s">
        <v>104</v>
      </c>
      <c r="B77" s="210"/>
      <c r="C77" s="210"/>
      <c r="D77" s="210"/>
      <c r="E77" s="210"/>
      <c r="F77" s="210"/>
      <c r="G77" s="210"/>
      <c r="H77" s="210"/>
      <c r="I77" s="210"/>
      <c r="J77" s="211"/>
      <c r="S77" s="3">
        <v>1</v>
      </c>
    </row>
    <row r="78" spans="1:19" ht="152.25" customHeight="1" x14ac:dyDescent="0.25">
      <c r="A78" s="212"/>
      <c r="B78" s="213"/>
      <c r="C78" s="213"/>
      <c r="D78" s="214"/>
      <c r="E78" s="214"/>
      <c r="F78" s="214"/>
      <c r="G78" s="215"/>
      <c r="H78" s="213"/>
      <c r="I78" s="216"/>
      <c r="J78" s="217"/>
      <c r="S78" s="3">
        <v>1</v>
      </c>
    </row>
    <row r="79" spans="1:19" ht="24" customHeight="1" thickBot="1" x14ac:dyDescent="0.3">
      <c r="A79" s="114"/>
      <c r="B79" s="115"/>
      <c r="C79" s="115"/>
      <c r="D79" s="116"/>
      <c r="E79" s="218"/>
      <c r="F79" s="219"/>
      <c r="G79" s="218"/>
      <c r="H79" s="220"/>
      <c r="I79" s="221"/>
      <c r="J79" s="222"/>
      <c r="S79" s="3">
        <v>1</v>
      </c>
    </row>
  </sheetData>
  <mergeCells count="131">
    <mergeCell ref="A4:C4"/>
    <mergeCell ref="D4:E4"/>
    <mergeCell ref="F4:F5"/>
    <mergeCell ref="G4:J4"/>
    <mergeCell ref="A5:C5"/>
    <mergeCell ref="D5:E5"/>
    <mergeCell ref="G5:J5"/>
    <mergeCell ref="D1:H1"/>
    <mergeCell ref="I1:J1"/>
    <mergeCell ref="A2:C2"/>
    <mergeCell ref="D2:E2"/>
    <mergeCell ref="G2:H2"/>
    <mergeCell ref="A3:C3"/>
    <mergeCell ref="D3:E3"/>
    <mergeCell ref="G3:H3"/>
    <mergeCell ref="A9:C9"/>
    <mergeCell ref="D9:E9"/>
    <mergeCell ref="F9:G9"/>
    <mergeCell ref="H9:I9"/>
    <mergeCell ref="A10:C10"/>
    <mergeCell ref="D10:E10"/>
    <mergeCell ref="F10:G10"/>
    <mergeCell ref="H10:I10"/>
    <mergeCell ref="A6:C6"/>
    <mergeCell ref="D6:J6"/>
    <mergeCell ref="A7:J7"/>
    <mergeCell ref="A8:C8"/>
    <mergeCell ref="D8:E8"/>
    <mergeCell ref="F8:G8"/>
    <mergeCell ref="H8:I8"/>
    <mergeCell ref="A13:C13"/>
    <mergeCell ref="D13:E13"/>
    <mergeCell ref="F13:G13"/>
    <mergeCell ref="H13:I13"/>
    <mergeCell ref="A14:C14"/>
    <mergeCell ref="D14:E14"/>
    <mergeCell ref="F14:G14"/>
    <mergeCell ref="H14:I14"/>
    <mergeCell ref="A11:C11"/>
    <mergeCell ref="D11:E11"/>
    <mergeCell ref="F11:G11"/>
    <mergeCell ref="H11:I11"/>
    <mergeCell ref="A12:C12"/>
    <mergeCell ref="D12:E12"/>
    <mergeCell ref="F12:G12"/>
    <mergeCell ref="H12:I12"/>
    <mergeCell ref="H17:I17"/>
    <mergeCell ref="A18:J18"/>
    <mergeCell ref="A19:C19"/>
    <mergeCell ref="H19:J40"/>
    <mergeCell ref="B20:C20"/>
    <mergeCell ref="B21:C21"/>
    <mergeCell ref="B22:C22"/>
    <mergeCell ref="A15:C15"/>
    <mergeCell ref="D15:E15"/>
    <mergeCell ref="F15:G15"/>
    <mergeCell ref="H15:I15"/>
    <mergeCell ref="A16:C16"/>
    <mergeCell ref="D16:E16"/>
    <mergeCell ref="F16:G16"/>
    <mergeCell ref="H16:I16"/>
    <mergeCell ref="A23:E23"/>
    <mergeCell ref="B24:E24"/>
    <mergeCell ref="A37:E37"/>
    <mergeCell ref="B38:E38"/>
    <mergeCell ref="B39:E39"/>
    <mergeCell ref="B40:E40"/>
    <mergeCell ref="A17:C17"/>
    <mergeCell ref="D17:E17"/>
    <mergeCell ref="F17:G17"/>
    <mergeCell ref="B45:E45"/>
    <mergeCell ref="B46:E46"/>
    <mergeCell ref="B47:E47"/>
    <mergeCell ref="A48:E48"/>
    <mergeCell ref="G48:J48"/>
    <mergeCell ref="B49:E49"/>
    <mergeCell ref="A41:E41"/>
    <mergeCell ref="G41:J41"/>
    <mergeCell ref="B42:E42"/>
    <mergeCell ref="B43:E43"/>
    <mergeCell ref="A44:E44"/>
    <mergeCell ref="G44:J44"/>
    <mergeCell ref="B56:E56"/>
    <mergeCell ref="B57:E57"/>
    <mergeCell ref="B58:E58"/>
    <mergeCell ref="B59:E59"/>
    <mergeCell ref="B60:E60"/>
    <mergeCell ref="B61:E61"/>
    <mergeCell ref="B50:E50"/>
    <mergeCell ref="B51:E51"/>
    <mergeCell ref="B52:E52"/>
    <mergeCell ref="B53:E53"/>
    <mergeCell ref="B54:E54"/>
    <mergeCell ref="B55:E55"/>
    <mergeCell ref="A68:B68"/>
    <mergeCell ref="C68:D68"/>
    <mergeCell ref="F68:H68"/>
    <mergeCell ref="A69:B69"/>
    <mergeCell ref="C69:D69"/>
    <mergeCell ref="F69:H69"/>
    <mergeCell ref="B62:E62"/>
    <mergeCell ref="B63:E63"/>
    <mergeCell ref="B64:E64"/>
    <mergeCell ref="A65:E65"/>
    <mergeCell ref="A66:J66"/>
    <mergeCell ref="A67:D67"/>
    <mergeCell ref="E67:H67"/>
    <mergeCell ref="I67:J67"/>
    <mergeCell ref="A72:J72"/>
    <mergeCell ref="A73:C74"/>
    <mergeCell ref="G73:H73"/>
    <mergeCell ref="J73:J76"/>
    <mergeCell ref="G74:H74"/>
    <mergeCell ref="A75:C76"/>
    <mergeCell ref="G75:H75"/>
    <mergeCell ref="G76:H76"/>
    <mergeCell ref="A70:B70"/>
    <mergeCell ref="C70:D70"/>
    <mergeCell ref="F70:H70"/>
    <mergeCell ref="A71:B71"/>
    <mergeCell ref="C71:D71"/>
    <mergeCell ref="F71:H71"/>
    <mergeCell ref="A77:J77"/>
    <mergeCell ref="A78:D78"/>
    <mergeCell ref="E78:F78"/>
    <mergeCell ref="G78:H78"/>
    <mergeCell ref="I78:J78"/>
    <mergeCell ref="A79:D79"/>
    <mergeCell ref="E79:F79"/>
    <mergeCell ref="G79:H79"/>
    <mergeCell ref="I79:J79"/>
  </mergeCells>
  <dataValidations count="3">
    <dataValidation type="list" allowBlank="1" showInputMessage="1" showErrorMessage="1" sqref="I69:I71" xr:uid="{E0697663-430A-41FD-AA93-D7B32F55F3CB}">
      <formula1>"Abierta,Cerrada"</formula1>
    </dataValidation>
    <dataValidation type="list" allowBlank="1" showInputMessage="1" showErrorMessage="1" sqref="A69:B71" xr:uid="{0EE6949C-BE94-48A8-8D9B-AC0333B84074}">
      <formula1>"AV,CI"</formula1>
    </dataValidation>
    <dataValidation type="list" allowBlank="1" showInputMessage="1" showErrorMessage="1" sqref="E69:E71" xr:uid="{1A03EC6C-5FA1-43C3-BF2A-F4AEE29C9348}">
      <formula1>"Correctiva,Preventiva, Mejora"</formula1>
    </dataValidation>
  </dataValidations>
  <printOptions horizontalCentered="1" verticalCentered="1"/>
  <pageMargins left="0.11811023622047245" right="0.19685039370078741" top="0.15748031496062992" bottom="0.15748031496062992" header="0.31496062992125984" footer="0.31496062992125984"/>
  <pageSetup paperSize="9" scale="60" fitToHeight="2" orientation="portrait" horizontalDpi="360" verticalDpi="360" r:id="rId1"/>
  <rowBreaks count="1" manualBreakCount="1">
    <brk id="40" max="9"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8FEAF09E-4842-4D32-ACCC-0558562C5BFB}">
          <x14:formula1>
            <xm:f>Trabajadores!$B$2:$B$165</xm:f>
          </x14:formula1>
          <xm:sqref>A8 D8 F8 H8 J8 A9 D9 F9 H9 J9 A10 D10 F10 H10 J10 A11 D11 F11 H11 J11 A12 D12 F12 H12 J12 A13 D13 F13 H13 J13 A14 D14 F14 H14 J14 A15 D15 F15 H15 J15 A16 D16 F16 H16 J16 A17 D17 F17 H17 J17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FDA40-760F-4212-B81B-CB191CC8CE7A}">
  <sheetPr codeName="Hoja16"/>
  <dimension ref="A1:S79"/>
  <sheetViews>
    <sheetView showGridLines="0" zoomScaleNormal="100" zoomScaleSheetLayoutView="100" workbookViewId="0">
      <pane ySplit="1" topLeftCell="A65" activePane="bottomLeft" state="frozen"/>
      <selection pane="bottomLeft" activeCell="D75" sqref="D75:E75"/>
    </sheetView>
  </sheetViews>
  <sheetFormatPr baseColWidth="10" defaultColWidth="9.42578125" defaultRowHeight="15" x14ac:dyDescent="0.25"/>
  <cols>
    <col min="1" max="1" width="5.85546875" customWidth="1"/>
    <col min="2" max="2" width="11.140625" customWidth="1"/>
    <col min="3" max="3" width="9.42578125" customWidth="1"/>
    <col min="4" max="4" width="10.7109375" customWidth="1"/>
    <col min="5" max="5" width="18.140625" customWidth="1"/>
    <col min="6" max="6" width="15.28515625" customWidth="1"/>
    <col min="7" max="7" width="12.140625" customWidth="1"/>
    <col min="8" max="8" width="22.85546875" customWidth="1"/>
    <col min="9" max="9" width="12.7109375" customWidth="1"/>
    <col min="10" max="10" width="25.140625" customWidth="1"/>
    <col min="11" max="11" width="2.42578125" customWidth="1"/>
    <col min="19" max="19" width="9.42578125" style="3"/>
  </cols>
  <sheetData>
    <row r="1" spans="1:19" ht="63.6" customHeight="1" thickBot="1" x14ac:dyDescent="0.3">
      <c r="A1" s="81"/>
      <c r="B1" s="82"/>
      <c r="C1" s="82"/>
      <c r="D1" s="256" t="s">
        <v>189</v>
      </c>
      <c r="E1" s="256"/>
      <c r="F1" s="256"/>
      <c r="G1" s="256"/>
      <c r="H1" s="257"/>
      <c r="I1" s="258" t="s">
        <v>1</v>
      </c>
      <c r="J1" s="259"/>
    </row>
    <row r="2" spans="1:19" ht="28.35" customHeight="1" x14ac:dyDescent="0.25">
      <c r="A2" s="260" t="s">
        <v>190</v>
      </c>
      <c r="B2" s="261"/>
      <c r="C2" s="261"/>
      <c r="D2" s="262" t="s">
        <v>3</v>
      </c>
      <c r="E2" s="263"/>
      <c r="F2" s="83" t="s">
        <v>191</v>
      </c>
      <c r="G2" s="264">
        <v>45435</v>
      </c>
      <c r="H2" s="265"/>
      <c r="I2" s="84" t="s">
        <v>5</v>
      </c>
      <c r="J2" s="85">
        <v>0</v>
      </c>
      <c r="S2" s="3">
        <v>1</v>
      </c>
    </row>
    <row r="3" spans="1:19" ht="28.35" customHeight="1" x14ac:dyDescent="0.25">
      <c r="A3" s="246" t="s">
        <v>192</v>
      </c>
      <c r="B3" s="247"/>
      <c r="C3" s="247"/>
      <c r="D3" s="266" t="s">
        <v>211</v>
      </c>
      <c r="E3" s="267"/>
      <c r="F3" s="86" t="s">
        <v>193</v>
      </c>
      <c r="G3" s="268"/>
      <c r="H3" s="269"/>
      <c r="I3" s="86" t="s">
        <v>194</v>
      </c>
      <c r="J3" s="87"/>
      <c r="S3" s="3">
        <v>1</v>
      </c>
    </row>
    <row r="4" spans="1:19" ht="24.95" customHeight="1" x14ac:dyDescent="0.25">
      <c r="A4" s="246" t="s">
        <v>195</v>
      </c>
      <c r="B4" s="247"/>
      <c r="C4" s="247"/>
      <c r="D4" s="248" t="s">
        <v>9</v>
      </c>
      <c r="E4" s="248"/>
      <c r="F4" s="249" t="s">
        <v>196</v>
      </c>
      <c r="G4" s="251" t="s">
        <v>17</v>
      </c>
      <c r="H4" s="252"/>
      <c r="I4" s="252"/>
      <c r="J4" s="253"/>
      <c r="S4" s="3">
        <v>1</v>
      </c>
    </row>
    <row r="5" spans="1:19" ht="24.95" customHeight="1" x14ac:dyDescent="0.25">
      <c r="A5" s="246" t="s">
        <v>197</v>
      </c>
      <c r="B5" s="247"/>
      <c r="C5" s="247"/>
      <c r="D5" s="254" t="s">
        <v>210</v>
      </c>
      <c r="E5" s="255"/>
      <c r="F5" s="250"/>
      <c r="G5" s="251" t="s">
        <v>15</v>
      </c>
      <c r="H5" s="252"/>
      <c r="I5" s="252"/>
      <c r="J5" s="253"/>
      <c r="S5" s="3">
        <v>1</v>
      </c>
    </row>
    <row r="6" spans="1:19" ht="42.75" customHeight="1" thickBot="1" x14ac:dyDescent="0.3">
      <c r="A6" s="237" t="s">
        <v>198</v>
      </c>
      <c r="B6" s="238"/>
      <c r="C6" s="238"/>
      <c r="D6" s="239"/>
      <c r="E6" s="240"/>
      <c r="F6" s="240"/>
      <c r="G6" s="240"/>
      <c r="H6" s="240"/>
      <c r="I6" s="240"/>
      <c r="J6" s="241"/>
      <c r="S6" s="3">
        <v>1</v>
      </c>
    </row>
    <row r="7" spans="1:19" ht="26.25" customHeight="1" x14ac:dyDescent="0.25">
      <c r="A7" s="242" t="s">
        <v>199</v>
      </c>
      <c r="B7" s="243"/>
      <c r="C7" s="243"/>
      <c r="D7" s="244"/>
      <c r="E7" s="244"/>
      <c r="F7" s="244"/>
      <c r="G7" s="244"/>
      <c r="H7" s="244"/>
      <c r="I7" s="244"/>
      <c r="J7" s="245"/>
      <c r="S7" s="3">
        <v>1</v>
      </c>
    </row>
    <row r="8" spans="1:19" s="16" customFormat="1" ht="21" customHeight="1" x14ac:dyDescent="0.25">
      <c r="A8" s="230"/>
      <c r="B8" s="230"/>
      <c r="C8" s="230"/>
      <c r="D8" s="231"/>
      <c r="E8" s="231"/>
      <c r="F8" s="230"/>
      <c r="G8" s="230"/>
      <c r="H8" s="230"/>
      <c r="I8" s="230"/>
      <c r="J8" s="88"/>
      <c r="S8" s="3">
        <v>1</v>
      </c>
    </row>
    <row r="9" spans="1:19" s="16" customFormat="1" ht="21" customHeight="1" x14ac:dyDescent="0.25">
      <c r="A9" s="232"/>
      <c r="B9" s="233"/>
      <c r="C9" s="234"/>
      <c r="D9" s="235"/>
      <c r="E9" s="236"/>
      <c r="F9" s="232"/>
      <c r="G9" s="234"/>
      <c r="H9" s="232"/>
      <c r="I9" s="234"/>
      <c r="J9" s="88"/>
      <c r="S9" s="3">
        <v>1</v>
      </c>
    </row>
    <row r="10" spans="1:19" s="16" customFormat="1" ht="21" customHeight="1" x14ac:dyDescent="0.25">
      <c r="A10" s="232"/>
      <c r="B10" s="233"/>
      <c r="C10" s="234"/>
      <c r="D10" s="235"/>
      <c r="E10" s="236"/>
      <c r="F10" s="232"/>
      <c r="G10" s="234"/>
      <c r="H10" s="232"/>
      <c r="I10" s="234"/>
      <c r="J10" s="88"/>
      <c r="S10" s="3">
        <v>1</v>
      </c>
    </row>
    <row r="11" spans="1:19" s="16" customFormat="1" ht="21" customHeight="1" x14ac:dyDescent="0.25">
      <c r="A11" s="232"/>
      <c r="B11" s="233"/>
      <c r="C11" s="234"/>
      <c r="D11" s="235"/>
      <c r="E11" s="236"/>
      <c r="F11" s="232"/>
      <c r="G11" s="234"/>
      <c r="H11" s="232"/>
      <c r="I11" s="234"/>
      <c r="J11" s="88"/>
      <c r="S11" s="3">
        <v>1</v>
      </c>
    </row>
    <row r="12" spans="1:19" s="16" customFormat="1" ht="21" customHeight="1" x14ac:dyDescent="0.25">
      <c r="A12" s="230"/>
      <c r="B12" s="230"/>
      <c r="C12" s="230"/>
      <c r="D12" s="231"/>
      <c r="E12" s="231"/>
      <c r="F12" s="230"/>
      <c r="G12" s="230"/>
      <c r="H12" s="230"/>
      <c r="I12" s="230"/>
      <c r="J12" s="88"/>
      <c r="S12" s="3">
        <v>1</v>
      </c>
    </row>
    <row r="13" spans="1:19" s="16" customFormat="1" ht="21" customHeight="1" x14ac:dyDescent="0.25">
      <c r="A13" s="230"/>
      <c r="B13" s="230"/>
      <c r="C13" s="230"/>
      <c r="D13" s="231"/>
      <c r="E13" s="231"/>
      <c r="F13" s="230"/>
      <c r="G13" s="230"/>
      <c r="H13" s="230"/>
      <c r="I13" s="230"/>
      <c r="J13" s="88"/>
      <c r="S13" s="3">
        <v>1</v>
      </c>
    </row>
    <row r="14" spans="1:19" s="16" customFormat="1" ht="21" customHeight="1" x14ac:dyDescent="0.25">
      <c r="A14" s="230"/>
      <c r="B14" s="230"/>
      <c r="C14" s="230"/>
      <c r="D14" s="231"/>
      <c r="E14" s="231"/>
      <c r="F14" s="230"/>
      <c r="G14" s="230"/>
      <c r="H14" s="230"/>
      <c r="I14" s="230"/>
      <c r="J14" s="88"/>
      <c r="S14" s="3">
        <v>1</v>
      </c>
    </row>
    <row r="15" spans="1:19" s="16" customFormat="1" ht="21" customHeight="1" x14ac:dyDescent="0.25">
      <c r="A15" s="230"/>
      <c r="B15" s="230"/>
      <c r="C15" s="230"/>
      <c r="D15" s="231"/>
      <c r="E15" s="231"/>
      <c r="F15" s="230"/>
      <c r="G15" s="230"/>
      <c r="H15" s="230"/>
      <c r="I15" s="230"/>
      <c r="J15" s="88"/>
      <c r="S15" s="3">
        <v>1</v>
      </c>
    </row>
    <row r="16" spans="1:19" s="16" customFormat="1" ht="21" customHeight="1" x14ac:dyDescent="0.25">
      <c r="A16" s="230"/>
      <c r="B16" s="230"/>
      <c r="C16" s="230"/>
      <c r="D16" s="231"/>
      <c r="E16" s="231"/>
      <c r="F16" s="230"/>
      <c r="G16" s="230"/>
      <c r="H16" s="230"/>
      <c r="I16" s="230"/>
      <c r="J16" s="88"/>
      <c r="S16" s="3">
        <v>1</v>
      </c>
    </row>
    <row r="17" spans="1:19" s="16" customFormat="1" ht="21" customHeight="1" x14ac:dyDescent="0.25">
      <c r="A17" s="230"/>
      <c r="B17" s="230"/>
      <c r="C17" s="230"/>
      <c r="D17" s="231"/>
      <c r="E17" s="231"/>
      <c r="F17" s="230"/>
      <c r="G17" s="230"/>
      <c r="H17" s="230"/>
      <c r="I17" s="230"/>
      <c r="J17" s="88"/>
      <c r="S17" s="3">
        <v>1</v>
      </c>
    </row>
    <row r="18" spans="1:19" ht="27" customHeight="1" x14ac:dyDescent="0.25">
      <c r="A18" s="195" t="s">
        <v>18</v>
      </c>
      <c r="B18" s="196"/>
      <c r="C18" s="196"/>
      <c r="D18" s="197"/>
      <c r="E18" s="197"/>
      <c r="F18" s="197"/>
      <c r="G18" s="197"/>
      <c r="H18" s="197"/>
      <c r="I18" s="197"/>
      <c r="J18" s="198"/>
      <c r="S18" s="3">
        <v>1</v>
      </c>
    </row>
    <row r="19" spans="1:19" s="16" customFormat="1" ht="30.75" customHeight="1" x14ac:dyDescent="0.25">
      <c r="A19" s="172" t="s">
        <v>19</v>
      </c>
      <c r="B19" s="173"/>
      <c r="C19" s="174"/>
      <c r="D19" s="13" t="s">
        <v>20</v>
      </c>
      <c r="E19" s="13" t="s">
        <v>5</v>
      </c>
      <c r="F19" s="14" t="s">
        <v>21</v>
      </c>
      <c r="G19" s="15"/>
      <c r="H19" s="175"/>
      <c r="I19" s="175"/>
      <c r="J19" s="176"/>
      <c r="S19" s="3">
        <v>1</v>
      </c>
    </row>
    <row r="20" spans="1:19" s="16" customFormat="1" ht="30.6" customHeight="1" x14ac:dyDescent="0.25">
      <c r="A20" s="89" t="s">
        <v>22</v>
      </c>
      <c r="B20" s="179" t="s">
        <v>23</v>
      </c>
      <c r="C20" s="180"/>
      <c r="D20" s="90">
        <v>0</v>
      </c>
      <c r="E20" s="91">
        <v>0</v>
      </c>
      <c r="F20" s="92">
        <f>+(D20/60)*E20</f>
        <v>0</v>
      </c>
      <c r="G20" s="21"/>
      <c r="H20" s="177"/>
      <c r="I20" s="177"/>
      <c r="J20" s="178"/>
      <c r="S20" s="3">
        <v>1</v>
      </c>
    </row>
    <row r="21" spans="1:19" s="16" customFormat="1" ht="36.75" customHeight="1" x14ac:dyDescent="0.25">
      <c r="A21" s="89" t="s">
        <v>24</v>
      </c>
      <c r="B21" s="179" t="s">
        <v>25</v>
      </c>
      <c r="C21" s="180"/>
      <c r="D21" s="90">
        <v>0</v>
      </c>
      <c r="E21" s="91">
        <v>0</v>
      </c>
      <c r="F21" s="20">
        <f>(D21/60)*E21</f>
        <v>0</v>
      </c>
      <c r="G21" s="21"/>
      <c r="H21" s="177"/>
      <c r="I21" s="177"/>
      <c r="J21" s="178"/>
      <c r="S21" s="3">
        <v>1</v>
      </c>
    </row>
    <row r="22" spans="1:19" s="16" customFormat="1" ht="36.75" customHeight="1" x14ac:dyDescent="0.25">
      <c r="A22" s="89" t="s">
        <v>26</v>
      </c>
      <c r="B22" s="179" t="s">
        <v>27</v>
      </c>
      <c r="C22" s="180"/>
      <c r="D22" s="18">
        <v>0</v>
      </c>
      <c r="E22" s="19">
        <v>0</v>
      </c>
      <c r="F22" s="20">
        <f>(D22/60)*E22</f>
        <v>0</v>
      </c>
      <c r="G22" s="21"/>
      <c r="H22" s="177"/>
      <c r="I22" s="177"/>
      <c r="J22" s="178"/>
      <c r="S22" s="3">
        <v>1</v>
      </c>
    </row>
    <row r="23" spans="1:19" s="16" customFormat="1" ht="30" customHeight="1" x14ac:dyDescent="0.25">
      <c r="A23" s="172" t="s">
        <v>28</v>
      </c>
      <c r="B23" s="173"/>
      <c r="C23" s="173"/>
      <c r="D23" s="173"/>
      <c r="E23" s="181"/>
      <c r="F23" s="14" t="s">
        <v>29</v>
      </c>
      <c r="G23" s="22"/>
      <c r="H23" s="177"/>
      <c r="I23" s="177"/>
      <c r="J23" s="178"/>
      <c r="S23" s="3">
        <v>1</v>
      </c>
    </row>
    <row r="24" spans="1:19" s="16" customFormat="1" ht="20.100000000000001" customHeight="1" x14ac:dyDescent="0.25">
      <c r="A24" s="17">
        <v>2.1</v>
      </c>
      <c r="B24" s="153" t="s">
        <v>30</v>
      </c>
      <c r="C24" s="153"/>
      <c r="D24" s="153"/>
      <c r="E24" s="163"/>
      <c r="F24" s="93">
        <v>0</v>
      </c>
      <c r="G24" s="24"/>
      <c r="H24" s="177"/>
      <c r="I24" s="177"/>
      <c r="J24" s="178"/>
      <c r="S24" s="3">
        <v>1</v>
      </c>
    </row>
    <row r="25" spans="1:19" s="16" customFormat="1" ht="20.100000000000001" customHeight="1" x14ac:dyDescent="0.25">
      <c r="A25" s="17">
        <v>2.2000000000000002</v>
      </c>
      <c r="B25" s="25" t="s">
        <v>31</v>
      </c>
      <c r="C25" s="25"/>
      <c r="D25" s="25"/>
      <c r="E25" s="26"/>
      <c r="F25" s="93">
        <v>0</v>
      </c>
      <c r="G25" s="24"/>
      <c r="H25" s="177"/>
      <c r="I25" s="177"/>
      <c r="J25" s="178"/>
      <c r="S25" s="3">
        <v>1</v>
      </c>
    </row>
    <row r="26" spans="1:19" s="16" customFormat="1" ht="20.100000000000001" customHeight="1" x14ac:dyDescent="0.25">
      <c r="A26" s="17">
        <v>2.2999999999999998</v>
      </c>
      <c r="B26" s="25" t="s">
        <v>32</v>
      </c>
      <c r="C26" s="25"/>
      <c r="D26" s="25"/>
      <c r="E26" s="26"/>
      <c r="F26" s="94">
        <v>0</v>
      </c>
      <c r="G26" s="24"/>
      <c r="H26" s="177"/>
      <c r="I26" s="177"/>
      <c r="J26" s="178"/>
      <c r="S26" s="3">
        <v>1</v>
      </c>
    </row>
    <row r="27" spans="1:19" s="16" customFormat="1" ht="20.100000000000001" customHeight="1" x14ac:dyDescent="0.25">
      <c r="A27" s="17">
        <v>2.4</v>
      </c>
      <c r="B27" s="25" t="s">
        <v>33</v>
      </c>
      <c r="C27" s="25"/>
      <c r="D27" s="25"/>
      <c r="E27" s="26"/>
      <c r="F27" s="94">
        <v>0</v>
      </c>
      <c r="G27" s="24"/>
      <c r="H27" s="177"/>
      <c r="I27" s="177"/>
      <c r="J27" s="178"/>
      <c r="S27" s="3">
        <v>1</v>
      </c>
    </row>
    <row r="28" spans="1:19" s="16" customFormat="1" ht="20.100000000000001" customHeight="1" x14ac:dyDescent="0.25">
      <c r="A28" s="17">
        <v>2.5</v>
      </c>
      <c r="B28" s="25" t="s">
        <v>34</v>
      </c>
      <c r="C28" s="25"/>
      <c r="D28" s="25"/>
      <c r="E28" s="26"/>
      <c r="F28" s="94">
        <v>0</v>
      </c>
      <c r="G28" s="24"/>
      <c r="H28" s="177"/>
      <c r="I28" s="177"/>
      <c r="J28" s="178"/>
      <c r="S28" s="3">
        <v>1</v>
      </c>
    </row>
    <row r="29" spans="1:19" s="16" customFormat="1" ht="20.100000000000001" customHeight="1" x14ac:dyDescent="0.25">
      <c r="A29" s="17">
        <v>2.6</v>
      </c>
      <c r="B29" s="25" t="s">
        <v>35</v>
      </c>
      <c r="C29" s="25"/>
      <c r="D29" s="25"/>
      <c r="E29" s="26"/>
      <c r="F29" s="94">
        <v>0</v>
      </c>
      <c r="G29" s="24"/>
      <c r="H29" s="177"/>
      <c r="I29" s="177"/>
      <c r="J29" s="178"/>
      <c r="S29" s="3">
        <v>1</v>
      </c>
    </row>
    <row r="30" spans="1:19" s="16" customFormat="1" ht="20.100000000000001" customHeight="1" x14ac:dyDescent="0.25">
      <c r="A30" s="17">
        <v>2.7</v>
      </c>
      <c r="B30" s="25" t="s">
        <v>36</v>
      </c>
      <c r="C30" s="25"/>
      <c r="D30" s="25"/>
      <c r="E30" s="26"/>
      <c r="F30" s="94">
        <v>0</v>
      </c>
      <c r="G30" s="24"/>
      <c r="H30" s="177"/>
      <c r="I30" s="177"/>
      <c r="J30" s="178"/>
      <c r="S30" s="3">
        <v>1</v>
      </c>
    </row>
    <row r="31" spans="1:19" s="16" customFormat="1" ht="20.100000000000001" customHeight="1" x14ac:dyDescent="0.25">
      <c r="A31" s="17">
        <v>2.8</v>
      </c>
      <c r="B31" s="25" t="s">
        <v>37</v>
      </c>
      <c r="C31" s="25"/>
      <c r="D31" s="25"/>
      <c r="E31" s="26"/>
      <c r="F31" s="94">
        <v>0</v>
      </c>
      <c r="G31" s="24"/>
      <c r="H31" s="177"/>
      <c r="I31" s="177"/>
      <c r="J31" s="178"/>
      <c r="S31" s="3">
        <v>1</v>
      </c>
    </row>
    <row r="32" spans="1:19" s="16" customFormat="1" ht="20.100000000000001" customHeight="1" x14ac:dyDescent="0.25">
      <c r="A32" s="17">
        <v>2.9</v>
      </c>
      <c r="B32" s="25" t="s">
        <v>38</v>
      </c>
      <c r="C32" s="25"/>
      <c r="D32" s="25"/>
      <c r="E32" s="26"/>
      <c r="F32" s="94">
        <v>0</v>
      </c>
      <c r="G32" s="24"/>
      <c r="H32" s="177"/>
      <c r="I32" s="177"/>
      <c r="J32" s="178"/>
      <c r="S32" s="3">
        <v>1</v>
      </c>
    </row>
    <row r="33" spans="1:19" s="16" customFormat="1" ht="20.100000000000001" customHeight="1" x14ac:dyDescent="0.25">
      <c r="A33" s="28" t="s">
        <v>39</v>
      </c>
      <c r="B33" s="25" t="s">
        <v>40</v>
      </c>
      <c r="C33" s="25"/>
      <c r="D33" s="25"/>
      <c r="E33" s="26"/>
      <c r="F33" s="94">
        <v>0</v>
      </c>
      <c r="G33" s="24"/>
      <c r="H33" s="177"/>
      <c r="I33" s="177"/>
      <c r="J33" s="178"/>
      <c r="S33" s="3">
        <v>1</v>
      </c>
    </row>
    <row r="34" spans="1:19" s="16" customFormat="1" ht="20.100000000000001" customHeight="1" x14ac:dyDescent="0.25">
      <c r="A34" s="17">
        <v>2.11</v>
      </c>
      <c r="B34" s="25" t="s">
        <v>41</v>
      </c>
      <c r="C34" s="25"/>
      <c r="D34" s="25"/>
      <c r="E34" s="26"/>
      <c r="F34" s="94">
        <v>0</v>
      </c>
      <c r="G34" s="24"/>
      <c r="H34" s="177"/>
      <c r="I34" s="177"/>
      <c r="J34" s="178"/>
      <c r="S34" s="3">
        <v>1</v>
      </c>
    </row>
    <row r="35" spans="1:19" s="16" customFormat="1" ht="20.100000000000001" customHeight="1" x14ac:dyDescent="0.25">
      <c r="A35" s="17">
        <v>2.12</v>
      </c>
      <c r="B35" s="25" t="s">
        <v>42</v>
      </c>
      <c r="C35" s="25"/>
      <c r="D35" s="25"/>
      <c r="E35" s="26"/>
      <c r="F35" s="94">
        <v>0</v>
      </c>
      <c r="G35" s="24"/>
      <c r="H35" s="177"/>
      <c r="I35" s="177"/>
      <c r="J35" s="178"/>
      <c r="S35" s="3">
        <v>1</v>
      </c>
    </row>
    <row r="36" spans="1:19" s="16" customFormat="1" ht="20.100000000000001" customHeight="1" x14ac:dyDescent="0.25">
      <c r="A36" s="17">
        <v>2.13</v>
      </c>
      <c r="B36" s="25" t="s">
        <v>43</v>
      </c>
      <c r="C36" s="25"/>
      <c r="D36" s="25"/>
      <c r="E36" s="26"/>
      <c r="F36" s="94">
        <v>0</v>
      </c>
      <c r="G36" s="24"/>
      <c r="H36" s="177"/>
      <c r="I36" s="177"/>
      <c r="J36" s="178"/>
      <c r="S36" s="3">
        <v>1</v>
      </c>
    </row>
    <row r="37" spans="1:19" s="16" customFormat="1" ht="25.5" customHeight="1" x14ac:dyDescent="0.25">
      <c r="A37" s="225" t="s">
        <v>44</v>
      </c>
      <c r="B37" s="226"/>
      <c r="C37" s="226"/>
      <c r="D37" s="226"/>
      <c r="E37" s="227"/>
      <c r="F37" s="29">
        <f>SUM(F24:F36)</f>
        <v>0</v>
      </c>
      <c r="G37" s="30"/>
      <c r="H37" s="177"/>
      <c r="I37" s="177"/>
      <c r="J37" s="178"/>
      <c r="S37" s="3">
        <v>1</v>
      </c>
    </row>
    <row r="38" spans="1:19" s="16" customFormat="1" ht="24.75" customHeight="1" x14ac:dyDescent="0.25">
      <c r="A38" s="95" t="s">
        <v>45</v>
      </c>
      <c r="B38" s="228" t="s">
        <v>46</v>
      </c>
      <c r="C38" s="228"/>
      <c r="D38" s="228"/>
      <c r="E38" s="228"/>
      <c r="F38" s="96">
        <v>0</v>
      </c>
      <c r="G38" s="22"/>
      <c r="H38" s="177"/>
      <c r="I38" s="177"/>
      <c r="J38" s="178"/>
      <c r="S38" s="3">
        <v>1</v>
      </c>
    </row>
    <row r="39" spans="1:19" s="16" customFormat="1" ht="25.5" customHeight="1" x14ac:dyDescent="0.25">
      <c r="A39" s="97" t="s">
        <v>47</v>
      </c>
      <c r="B39" s="229" t="s">
        <v>48</v>
      </c>
      <c r="C39" s="229"/>
      <c r="D39" s="229"/>
      <c r="E39" s="229"/>
      <c r="F39" s="98">
        <v>0</v>
      </c>
      <c r="G39" s="33"/>
      <c r="H39" s="177"/>
      <c r="I39" s="177"/>
      <c r="J39" s="178"/>
      <c r="S39" s="3">
        <v>1</v>
      </c>
    </row>
    <row r="40" spans="1:19" s="16" customFormat="1" ht="30.75" customHeight="1" thickBot="1" x14ac:dyDescent="0.3">
      <c r="A40" s="97" t="s">
        <v>49</v>
      </c>
      <c r="B40" s="229" t="s">
        <v>50</v>
      </c>
      <c r="C40" s="229"/>
      <c r="D40" s="229"/>
      <c r="E40" s="229"/>
      <c r="F40" s="98">
        <v>0</v>
      </c>
      <c r="G40" s="22"/>
      <c r="H40" s="177"/>
      <c r="I40" s="177"/>
      <c r="J40" s="178"/>
      <c r="S40" s="3">
        <v>1</v>
      </c>
    </row>
    <row r="41" spans="1:19" ht="35.25" customHeight="1" x14ac:dyDescent="0.25">
      <c r="A41" s="170" t="s">
        <v>51</v>
      </c>
      <c r="B41" s="171"/>
      <c r="C41" s="171"/>
      <c r="D41" s="171"/>
      <c r="E41" s="171"/>
      <c r="F41" s="99" t="s">
        <v>52</v>
      </c>
      <c r="G41" s="167"/>
      <c r="H41" s="167"/>
      <c r="I41" s="167"/>
      <c r="J41" s="168"/>
      <c r="L41" s="16"/>
      <c r="M41" s="16"/>
      <c r="N41" s="16"/>
      <c r="S41" s="3">
        <v>1</v>
      </c>
    </row>
    <row r="42" spans="1:19" ht="36.75" customHeight="1" x14ac:dyDescent="0.25">
      <c r="A42" s="100" t="s">
        <v>200</v>
      </c>
      <c r="B42" s="223" t="s">
        <v>201</v>
      </c>
      <c r="C42" s="223"/>
      <c r="D42" s="223"/>
      <c r="E42" s="223"/>
      <c r="F42" s="101">
        <v>0</v>
      </c>
      <c r="G42" s="37"/>
      <c r="H42" s="38"/>
      <c r="I42" s="38"/>
      <c r="J42" s="39"/>
      <c r="K42" s="40"/>
      <c r="L42" s="16"/>
      <c r="M42" s="16"/>
      <c r="N42" s="16"/>
      <c r="S42" s="3">
        <v>1</v>
      </c>
    </row>
    <row r="43" spans="1:19" ht="36.75" customHeight="1" thickBot="1" x14ac:dyDescent="0.3">
      <c r="A43" s="102" t="s">
        <v>202</v>
      </c>
      <c r="B43" s="224" t="s">
        <v>54</v>
      </c>
      <c r="C43" s="224"/>
      <c r="D43" s="224"/>
      <c r="E43" s="224"/>
      <c r="F43" s="103">
        <v>0</v>
      </c>
      <c r="G43" s="43"/>
      <c r="H43" s="44"/>
      <c r="I43" s="44"/>
      <c r="J43" s="45"/>
      <c r="K43" s="40"/>
      <c r="L43" s="16"/>
      <c r="M43" s="16"/>
      <c r="N43" s="16"/>
      <c r="S43" s="3">
        <v>1</v>
      </c>
    </row>
    <row r="44" spans="1:19" ht="37.5" customHeight="1" x14ac:dyDescent="0.25">
      <c r="A44" s="170" t="s">
        <v>55</v>
      </c>
      <c r="B44" s="171"/>
      <c r="C44" s="171"/>
      <c r="D44" s="171"/>
      <c r="E44" s="171"/>
      <c r="F44" s="104" t="s">
        <v>56</v>
      </c>
      <c r="G44" s="167"/>
      <c r="H44" s="167"/>
      <c r="I44" s="167"/>
      <c r="J44" s="168"/>
      <c r="K44" s="40"/>
      <c r="L44" s="16"/>
      <c r="M44" s="16"/>
      <c r="N44" s="16"/>
      <c r="S44" s="3">
        <v>1</v>
      </c>
    </row>
    <row r="45" spans="1:19" ht="28.5" customHeight="1" x14ac:dyDescent="0.25">
      <c r="A45" s="105" t="s">
        <v>203</v>
      </c>
      <c r="B45" s="223" t="s">
        <v>57</v>
      </c>
      <c r="C45" s="223"/>
      <c r="D45" s="223"/>
      <c r="E45" s="223"/>
      <c r="F45" s="106">
        <v>0</v>
      </c>
      <c r="G45" s="47"/>
      <c r="H45" s="48"/>
      <c r="I45" s="48"/>
      <c r="J45" s="49"/>
      <c r="K45" s="40"/>
      <c r="L45" s="16"/>
      <c r="M45" s="16"/>
      <c r="N45" s="16"/>
      <c r="S45" s="3">
        <v>1</v>
      </c>
    </row>
    <row r="46" spans="1:19" ht="30.75" customHeight="1" x14ac:dyDescent="0.25">
      <c r="A46" s="105" t="s">
        <v>204</v>
      </c>
      <c r="B46" s="224" t="s">
        <v>58</v>
      </c>
      <c r="C46" s="224"/>
      <c r="D46" s="224"/>
      <c r="E46" s="224"/>
      <c r="F46" s="106">
        <v>0</v>
      </c>
      <c r="G46" s="47"/>
      <c r="H46" s="48"/>
      <c r="I46" s="48"/>
      <c r="J46" s="49"/>
      <c r="K46" s="40"/>
      <c r="L46" s="16"/>
      <c r="M46" s="16"/>
      <c r="N46" s="16"/>
      <c r="S46" s="3">
        <v>1</v>
      </c>
    </row>
    <row r="47" spans="1:19" ht="30.75" customHeight="1" thickBot="1" x14ac:dyDescent="0.3">
      <c r="A47" s="105" t="s">
        <v>205</v>
      </c>
      <c r="B47" s="224" t="s">
        <v>59</v>
      </c>
      <c r="C47" s="224"/>
      <c r="D47" s="224"/>
      <c r="E47" s="224"/>
      <c r="F47" s="106">
        <v>0</v>
      </c>
      <c r="G47" s="50"/>
      <c r="H47" s="44"/>
      <c r="I47" s="44"/>
      <c r="J47" s="45"/>
      <c r="K47" s="40"/>
      <c r="L47" s="16"/>
      <c r="M47" s="16"/>
      <c r="N47" s="16"/>
      <c r="S47" s="3">
        <v>1</v>
      </c>
    </row>
    <row r="48" spans="1:19" ht="31.5" customHeight="1" x14ac:dyDescent="0.25">
      <c r="A48" s="170" t="s">
        <v>60</v>
      </c>
      <c r="B48" s="171"/>
      <c r="C48" s="171"/>
      <c r="D48" s="171"/>
      <c r="E48" s="171"/>
      <c r="F48" s="104" t="s">
        <v>52</v>
      </c>
      <c r="G48" s="167"/>
      <c r="H48" s="167"/>
      <c r="I48" s="167"/>
      <c r="J48" s="168"/>
      <c r="K48" s="40"/>
      <c r="L48" s="16"/>
      <c r="M48" s="16"/>
      <c r="N48" s="16"/>
      <c r="S48" s="3">
        <v>1</v>
      </c>
    </row>
    <row r="49" spans="1:19" ht="20.100000000000001" customHeight="1" x14ac:dyDescent="0.25">
      <c r="A49" s="17">
        <v>5.0999999999999996</v>
      </c>
      <c r="B49" s="153" t="s">
        <v>61</v>
      </c>
      <c r="C49" s="153"/>
      <c r="D49" s="153"/>
      <c r="E49" s="163"/>
      <c r="F49" s="107">
        <v>0</v>
      </c>
      <c r="G49" s="33"/>
      <c r="H49" s="48"/>
      <c r="I49" s="48"/>
      <c r="J49" s="49"/>
      <c r="K49" s="40"/>
      <c r="S49" s="3">
        <v>1</v>
      </c>
    </row>
    <row r="50" spans="1:19" ht="20.100000000000001" customHeight="1" x14ac:dyDescent="0.25">
      <c r="A50" s="17">
        <v>5.2</v>
      </c>
      <c r="B50" s="153" t="s">
        <v>62</v>
      </c>
      <c r="C50" s="153"/>
      <c r="D50" s="153"/>
      <c r="E50" s="163"/>
      <c r="F50" s="107">
        <v>0</v>
      </c>
      <c r="G50" s="33"/>
      <c r="H50" s="48"/>
      <c r="I50" s="48"/>
      <c r="J50" s="49"/>
      <c r="K50" s="40"/>
      <c r="S50" s="3">
        <v>1</v>
      </c>
    </row>
    <row r="51" spans="1:19" ht="20.100000000000001" customHeight="1" x14ac:dyDescent="0.25">
      <c r="A51" s="17">
        <v>5.3</v>
      </c>
      <c r="B51" s="153" t="s">
        <v>63</v>
      </c>
      <c r="C51" s="153"/>
      <c r="D51" s="153"/>
      <c r="E51" s="163"/>
      <c r="F51" s="107">
        <v>0</v>
      </c>
      <c r="G51" s="33"/>
      <c r="H51" s="48"/>
      <c r="I51" s="48"/>
      <c r="J51" s="49"/>
      <c r="K51" s="40"/>
      <c r="S51" s="3">
        <v>1</v>
      </c>
    </row>
    <row r="52" spans="1:19" ht="20.100000000000001" customHeight="1" x14ac:dyDescent="0.25">
      <c r="A52" s="17">
        <v>5.4</v>
      </c>
      <c r="B52" s="153" t="s">
        <v>64</v>
      </c>
      <c r="C52" s="153"/>
      <c r="D52" s="153"/>
      <c r="E52" s="163"/>
      <c r="F52" s="107">
        <v>0</v>
      </c>
      <c r="G52" s="33"/>
      <c r="H52" s="48"/>
      <c r="I52" s="48"/>
      <c r="J52" s="49"/>
      <c r="K52" s="40"/>
      <c r="S52" s="3">
        <v>1</v>
      </c>
    </row>
    <row r="53" spans="1:19" ht="20.100000000000001" customHeight="1" x14ac:dyDescent="0.25">
      <c r="A53" s="17">
        <v>5.5</v>
      </c>
      <c r="B53" s="153" t="s">
        <v>65</v>
      </c>
      <c r="C53" s="153"/>
      <c r="D53" s="153"/>
      <c r="E53" s="163"/>
      <c r="F53" s="107">
        <v>0</v>
      </c>
      <c r="G53" s="33"/>
      <c r="H53" s="48"/>
      <c r="I53" s="48"/>
      <c r="J53" s="49"/>
      <c r="K53" s="40"/>
      <c r="S53" s="3">
        <v>1</v>
      </c>
    </row>
    <row r="54" spans="1:19" ht="20.100000000000001" customHeight="1" x14ac:dyDescent="0.25">
      <c r="A54" s="17">
        <v>5.6</v>
      </c>
      <c r="B54" s="153" t="s">
        <v>66</v>
      </c>
      <c r="C54" s="153"/>
      <c r="D54" s="153"/>
      <c r="E54" s="163"/>
      <c r="F54" s="107">
        <v>0</v>
      </c>
      <c r="G54" s="33"/>
      <c r="H54" s="48"/>
      <c r="I54" s="48"/>
      <c r="J54" s="49"/>
      <c r="K54" s="40"/>
      <c r="S54" s="3">
        <v>1</v>
      </c>
    </row>
    <row r="55" spans="1:19" ht="20.100000000000001" customHeight="1" x14ac:dyDescent="0.25">
      <c r="A55" s="17">
        <v>5.7</v>
      </c>
      <c r="B55" s="153" t="s">
        <v>67</v>
      </c>
      <c r="C55" s="153"/>
      <c r="D55" s="153"/>
      <c r="E55" s="163"/>
      <c r="F55" s="107">
        <v>0</v>
      </c>
      <c r="G55" s="33"/>
      <c r="H55" s="48"/>
      <c r="I55" s="48"/>
      <c r="J55" s="49"/>
      <c r="K55" s="40"/>
      <c r="S55" s="3">
        <v>1</v>
      </c>
    </row>
    <row r="56" spans="1:19" ht="20.100000000000001" customHeight="1" x14ac:dyDescent="0.25">
      <c r="A56" s="17">
        <v>5.8</v>
      </c>
      <c r="B56" s="153" t="s">
        <v>68</v>
      </c>
      <c r="C56" s="153"/>
      <c r="D56" s="153"/>
      <c r="E56" s="163"/>
      <c r="F56" s="107">
        <v>0</v>
      </c>
      <c r="G56" s="33"/>
      <c r="H56" s="48"/>
      <c r="I56" s="48"/>
      <c r="J56" s="49"/>
      <c r="K56" s="40"/>
      <c r="S56" s="3">
        <v>1</v>
      </c>
    </row>
    <row r="57" spans="1:19" ht="20.100000000000001" customHeight="1" x14ac:dyDescent="0.25">
      <c r="A57" s="17">
        <v>5.9</v>
      </c>
      <c r="B57" s="153" t="s">
        <v>69</v>
      </c>
      <c r="C57" s="153"/>
      <c r="D57" s="153"/>
      <c r="E57" s="163"/>
      <c r="F57" s="107">
        <v>0</v>
      </c>
      <c r="G57" s="33"/>
      <c r="H57" s="48"/>
      <c r="I57" s="48"/>
      <c r="J57" s="49"/>
      <c r="K57" s="40"/>
      <c r="S57" s="3">
        <v>1</v>
      </c>
    </row>
    <row r="58" spans="1:19" ht="20.100000000000001" customHeight="1" x14ac:dyDescent="0.25">
      <c r="A58" s="17" t="s">
        <v>70</v>
      </c>
      <c r="B58" s="153" t="s">
        <v>71</v>
      </c>
      <c r="C58" s="153"/>
      <c r="D58" s="153"/>
      <c r="E58" s="163"/>
      <c r="F58" s="107">
        <v>0</v>
      </c>
      <c r="G58" s="33"/>
      <c r="H58" s="48"/>
      <c r="I58" s="48"/>
      <c r="J58" s="49"/>
      <c r="K58" s="40"/>
      <c r="S58" s="3">
        <v>1</v>
      </c>
    </row>
    <row r="59" spans="1:19" ht="20.100000000000001" customHeight="1" x14ac:dyDescent="0.25">
      <c r="A59" s="17" t="s">
        <v>72</v>
      </c>
      <c r="B59" s="153" t="s">
        <v>73</v>
      </c>
      <c r="C59" s="153"/>
      <c r="D59" s="153"/>
      <c r="E59" s="163"/>
      <c r="F59" s="107">
        <v>0</v>
      </c>
      <c r="G59" s="33"/>
      <c r="H59" s="48"/>
      <c r="I59" s="48"/>
      <c r="J59" s="49"/>
      <c r="K59" s="40"/>
      <c r="S59" s="3">
        <v>1</v>
      </c>
    </row>
    <row r="60" spans="1:19" ht="20.100000000000001" customHeight="1" x14ac:dyDescent="0.25">
      <c r="A60" s="17" t="s">
        <v>74</v>
      </c>
      <c r="B60" s="153" t="s">
        <v>75</v>
      </c>
      <c r="C60" s="153"/>
      <c r="D60" s="153"/>
      <c r="E60" s="153"/>
      <c r="F60" s="36">
        <f>SUM(F61:F63)</f>
        <v>0</v>
      </c>
      <c r="G60" s="33"/>
      <c r="H60" s="48"/>
      <c r="I60" s="48"/>
      <c r="J60" s="49"/>
      <c r="K60" s="40"/>
      <c r="S60" s="3">
        <v>1</v>
      </c>
    </row>
    <row r="61" spans="1:19" ht="20.100000000000001" customHeight="1" x14ac:dyDescent="0.25">
      <c r="A61" s="17" t="s">
        <v>76</v>
      </c>
      <c r="B61" s="153" t="s">
        <v>77</v>
      </c>
      <c r="C61" s="153"/>
      <c r="D61" s="153"/>
      <c r="E61" s="153"/>
      <c r="F61" s="107">
        <v>0</v>
      </c>
      <c r="G61" s="33"/>
      <c r="H61" s="48"/>
      <c r="I61" s="48"/>
      <c r="J61" s="49"/>
      <c r="K61" s="40"/>
      <c r="S61" s="3">
        <v>1</v>
      </c>
    </row>
    <row r="62" spans="1:19" ht="20.100000000000001" customHeight="1" x14ac:dyDescent="0.25">
      <c r="A62" s="17" t="s">
        <v>78</v>
      </c>
      <c r="B62" s="153" t="s">
        <v>79</v>
      </c>
      <c r="C62" s="153"/>
      <c r="D62" s="153"/>
      <c r="E62" s="153"/>
      <c r="F62" s="107">
        <v>0</v>
      </c>
      <c r="G62" s="33"/>
      <c r="H62" s="48"/>
      <c r="I62" s="48"/>
      <c r="J62" s="49"/>
      <c r="K62" s="40"/>
      <c r="S62" s="3">
        <v>1</v>
      </c>
    </row>
    <row r="63" spans="1:19" ht="20.100000000000001" customHeight="1" x14ac:dyDescent="0.25">
      <c r="A63" s="17" t="s">
        <v>80</v>
      </c>
      <c r="B63" s="153" t="s">
        <v>81</v>
      </c>
      <c r="C63" s="153"/>
      <c r="D63" s="153"/>
      <c r="E63" s="153"/>
      <c r="F63" s="107">
        <v>0</v>
      </c>
      <c r="G63" s="33"/>
      <c r="H63" s="48"/>
      <c r="I63" s="48"/>
      <c r="J63" s="49"/>
      <c r="K63" s="40"/>
      <c r="S63" s="3">
        <v>1</v>
      </c>
    </row>
    <row r="64" spans="1:19" ht="20.100000000000001" customHeight="1" x14ac:dyDescent="0.25">
      <c r="A64" s="17">
        <v>5.13</v>
      </c>
      <c r="B64" s="153" t="s">
        <v>82</v>
      </c>
      <c r="C64" s="153"/>
      <c r="D64" s="153"/>
      <c r="E64" s="153"/>
      <c r="F64" s="107">
        <v>0</v>
      </c>
      <c r="G64" s="33"/>
      <c r="H64" s="48"/>
      <c r="I64" s="48"/>
      <c r="J64" s="49"/>
      <c r="K64" s="40"/>
      <c r="S64" s="3">
        <v>1</v>
      </c>
    </row>
    <row r="65" spans="1:19" ht="25.5" customHeight="1" thickBot="1" x14ac:dyDescent="0.3">
      <c r="A65" s="154" t="s">
        <v>83</v>
      </c>
      <c r="B65" s="155"/>
      <c r="C65" s="155"/>
      <c r="D65" s="155"/>
      <c r="E65" s="156"/>
      <c r="F65" s="29">
        <f>SUM(F49:F64)-F60</f>
        <v>0</v>
      </c>
      <c r="G65" s="43"/>
      <c r="H65" s="44"/>
      <c r="I65" s="44"/>
      <c r="J65" s="45"/>
      <c r="K65" s="40"/>
      <c r="S65" s="3">
        <v>1</v>
      </c>
    </row>
    <row r="66" spans="1:19" ht="30.75" customHeight="1" x14ac:dyDescent="0.25">
      <c r="A66" s="108" t="s">
        <v>84</v>
      </c>
      <c r="B66" s="109"/>
      <c r="C66" s="109"/>
      <c r="D66" s="109"/>
      <c r="E66" s="109"/>
      <c r="F66" s="109"/>
      <c r="G66" s="109"/>
      <c r="H66" s="109"/>
      <c r="I66" s="109"/>
      <c r="J66" s="121"/>
      <c r="S66" s="3">
        <v>1</v>
      </c>
    </row>
    <row r="67" spans="1:19" s="55" customFormat="1" ht="28.35" customHeight="1" x14ac:dyDescent="0.25">
      <c r="A67" s="157" t="s">
        <v>85</v>
      </c>
      <c r="B67" s="158"/>
      <c r="C67" s="158"/>
      <c r="D67" s="159"/>
      <c r="E67" s="128" t="s">
        <v>86</v>
      </c>
      <c r="F67" s="160"/>
      <c r="G67" s="160"/>
      <c r="H67" s="129"/>
      <c r="I67" s="161" t="s">
        <v>87</v>
      </c>
      <c r="J67" s="162"/>
      <c r="S67" s="3">
        <v>1</v>
      </c>
    </row>
    <row r="68" spans="1:19" s="58" customFormat="1" ht="25.5" x14ac:dyDescent="0.25">
      <c r="A68" s="151" t="s">
        <v>88</v>
      </c>
      <c r="B68" s="152"/>
      <c r="C68" s="152" t="s">
        <v>89</v>
      </c>
      <c r="D68" s="152"/>
      <c r="E68" s="56" t="s">
        <v>90</v>
      </c>
      <c r="F68" s="152" t="s">
        <v>91</v>
      </c>
      <c r="G68" s="152"/>
      <c r="H68" s="152"/>
      <c r="I68" s="56" t="s">
        <v>206</v>
      </c>
      <c r="J68" s="57" t="s">
        <v>93</v>
      </c>
      <c r="S68" s="3">
        <v>1</v>
      </c>
    </row>
    <row r="69" spans="1:19" s="58" customFormat="1" ht="36" customHeight="1" x14ac:dyDescent="0.25">
      <c r="A69" s="144" t="s">
        <v>207</v>
      </c>
      <c r="B69" s="145"/>
      <c r="C69" s="146"/>
      <c r="D69" s="145"/>
      <c r="E69" s="59" t="s">
        <v>208</v>
      </c>
      <c r="F69" s="147"/>
      <c r="G69" s="147"/>
      <c r="H69" s="147"/>
      <c r="I69" s="60"/>
      <c r="J69" s="61"/>
      <c r="S69" s="3">
        <v>1</v>
      </c>
    </row>
    <row r="70" spans="1:19" s="58" customFormat="1" ht="36" customHeight="1" x14ac:dyDescent="0.25">
      <c r="A70" s="144"/>
      <c r="B70" s="145"/>
      <c r="C70" s="146"/>
      <c r="D70" s="145"/>
      <c r="E70" s="59"/>
      <c r="F70" s="147"/>
      <c r="G70" s="147"/>
      <c r="H70" s="147"/>
      <c r="I70" s="60"/>
      <c r="J70" s="61"/>
      <c r="S70" s="3">
        <v>1</v>
      </c>
    </row>
    <row r="71" spans="1:19" s="58" customFormat="1" ht="36" customHeight="1" thickBot="1" x14ac:dyDescent="0.3">
      <c r="A71" s="144"/>
      <c r="B71" s="145"/>
      <c r="C71" s="148"/>
      <c r="D71" s="149"/>
      <c r="E71" s="59"/>
      <c r="F71" s="150"/>
      <c r="G71" s="150"/>
      <c r="H71" s="150"/>
      <c r="I71" s="63"/>
      <c r="J71" s="64"/>
      <c r="S71" s="3">
        <v>1</v>
      </c>
    </row>
    <row r="72" spans="1:19" ht="27.75" customHeight="1" x14ac:dyDescent="0.25">
      <c r="A72" s="108" t="s">
        <v>94</v>
      </c>
      <c r="B72" s="109"/>
      <c r="C72" s="109"/>
      <c r="D72" s="109"/>
      <c r="E72" s="109"/>
      <c r="F72" s="109"/>
      <c r="G72" s="109"/>
      <c r="H72" s="109"/>
      <c r="I72" s="109"/>
      <c r="J72" s="121"/>
      <c r="S72" s="3">
        <v>1</v>
      </c>
    </row>
    <row r="73" spans="1:19" s="58" customFormat="1" ht="43.5" customHeight="1" x14ac:dyDescent="0.25">
      <c r="A73" s="122" t="s">
        <v>95</v>
      </c>
      <c r="B73" s="123"/>
      <c r="C73" s="124"/>
      <c r="D73" s="56" t="s">
        <v>96</v>
      </c>
      <c r="E73" s="19" t="s">
        <v>97</v>
      </c>
      <c r="F73" s="19" t="s">
        <v>98</v>
      </c>
      <c r="G73" s="128" t="s">
        <v>99</v>
      </c>
      <c r="H73" s="129"/>
      <c r="I73" s="56" t="s">
        <v>100</v>
      </c>
      <c r="J73" s="130"/>
      <c r="S73" s="3">
        <v>1</v>
      </c>
    </row>
    <row r="74" spans="1:19" s="58" customFormat="1" ht="24.95" customHeight="1" x14ac:dyDescent="0.25">
      <c r="A74" s="125"/>
      <c r="B74" s="126"/>
      <c r="C74" s="127"/>
      <c r="D74" s="65">
        <v>0</v>
      </c>
      <c r="E74" s="65">
        <v>0</v>
      </c>
      <c r="F74" s="65">
        <v>0</v>
      </c>
      <c r="G74" s="132">
        <v>0</v>
      </c>
      <c r="H74" s="133"/>
      <c r="I74" s="66">
        <f>SUM(D74:H74)</f>
        <v>0</v>
      </c>
      <c r="J74" s="130"/>
      <c r="S74" s="3">
        <v>1</v>
      </c>
    </row>
    <row r="75" spans="1:19" s="58" customFormat="1" ht="24" customHeight="1" x14ac:dyDescent="0.25">
      <c r="A75" s="134" t="s">
        <v>101</v>
      </c>
      <c r="B75" s="135"/>
      <c r="C75" s="136"/>
      <c r="D75" s="67" t="s">
        <v>102</v>
      </c>
      <c r="E75" s="67" t="s">
        <v>103</v>
      </c>
      <c r="F75" s="68"/>
      <c r="G75" s="140"/>
      <c r="H75" s="141"/>
      <c r="I75" s="68"/>
      <c r="J75" s="130"/>
      <c r="S75" s="3">
        <v>1</v>
      </c>
    </row>
    <row r="76" spans="1:19" s="58" customFormat="1" ht="24.95" customHeight="1" thickBot="1" x14ac:dyDescent="0.3">
      <c r="A76" s="137"/>
      <c r="B76" s="138"/>
      <c r="C76" s="139"/>
      <c r="D76" s="69">
        <v>0</v>
      </c>
      <c r="E76" s="69">
        <v>0</v>
      </c>
      <c r="F76" s="69"/>
      <c r="G76" s="142"/>
      <c r="H76" s="143"/>
      <c r="I76" s="70">
        <f>SUM(D76:H76)</f>
        <v>0</v>
      </c>
      <c r="J76" s="131"/>
      <c r="S76" s="3">
        <v>1</v>
      </c>
    </row>
    <row r="77" spans="1:19" ht="30" customHeight="1" thickBot="1" x14ac:dyDescent="0.3">
      <c r="A77" s="209" t="s">
        <v>104</v>
      </c>
      <c r="B77" s="210"/>
      <c r="C77" s="210"/>
      <c r="D77" s="210"/>
      <c r="E77" s="210"/>
      <c r="F77" s="210"/>
      <c r="G77" s="210"/>
      <c r="H77" s="210"/>
      <c r="I77" s="210"/>
      <c r="J77" s="211"/>
      <c r="S77" s="3">
        <v>1</v>
      </c>
    </row>
    <row r="78" spans="1:19" ht="152.25" customHeight="1" x14ac:dyDescent="0.25">
      <c r="A78" s="212"/>
      <c r="B78" s="213"/>
      <c r="C78" s="213"/>
      <c r="D78" s="214"/>
      <c r="E78" s="214"/>
      <c r="F78" s="214"/>
      <c r="G78" s="215"/>
      <c r="H78" s="213"/>
      <c r="I78" s="216"/>
      <c r="J78" s="217"/>
      <c r="S78" s="3">
        <v>1</v>
      </c>
    </row>
    <row r="79" spans="1:19" ht="24" customHeight="1" thickBot="1" x14ac:dyDescent="0.3">
      <c r="A79" s="114"/>
      <c r="B79" s="115"/>
      <c r="C79" s="115"/>
      <c r="D79" s="116"/>
      <c r="E79" s="218"/>
      <c r="F79" s="219"/>
      <c r="G79" s="218"/>
      <c r="H79" s="220"/>
      <c r="I79" s="221"/>
      <c r="J79" s="222"/>
      <c r="S79" s="3">
        <v>1</v>
      </c>
    </row>
  </sheetData>
  <mergeCells count="131">
    <mergeCell ref="A4:C4"/>
    <mergeCell ref="D4:E4"/>
    <mergeCell ref="F4:F5"/>
    <mergeCell ref="G4:J4"/>
    <mergeCell ref="A5:C5"/>
    <mergeCell ref="D5:E5"/>
    <mergeCell ref="G5:J5"/>
    <mergeCell ref="D1:H1"/>
    <mergeCell ref="I1:J1"/>
    <mergeCell ref="A2:C2"/>
    <mergeCell ref="D2:E2"/>
    <mergeCell ref="G2:H2"/>
    <mergeCell ref="A3:C3"/>
    <mergeCell ref="D3:E3"/>
    <mergeCell ref="G3:H3"/>
    <mergeCell ref="A9:C9"/>
    <mergeCell ref="D9:E9"/>
    <mergeCell ref="F9:G9"/>
    <mergeCell ref="H9:I9"/>
    <mergeCell ref="A10:C10"/>
    <mergeCell ref="D10:E10"/>
    <mergeCell ref="F10:G10"/>
    <mergeCell ref="H10:I10"/>
    <mergeCell ref="A6:C6"/>
    <mergeCell ref="D6:J6"/>
    <mergeCell ref="A7:J7"/>
    <mergeCell ref="A8:C8"/>
    <mergeCell ref="D8:E8"/>
    <mergeCell ref="F8:G8"/>
    <mergeCell ref="H8:I8"/>
    <mergeCell ref="A13:C13"/>
    <mergeCell ref="D13:E13"/>
    <mergeCell ref="F13:G13"/>
    <mergeCell ref="H13:I13"/>
    <mergeCell ref="A14:C14"/>
    <mergeCell ref="D14:E14"/>
    <mergeCell ref="F14:G14"/>
    <mergeCell ref="H14:I14"/>
    <mergeCell ref="A11:C11"/>
    <mergeCell ref="D11:E11"/>
    <mergeCell ref="F11:G11"/>
    <mergeCell ref="H11:I11"/>
    <mergeCell ref="A12:C12"/>
    <mergeCell ref="D12:E12"/>
    <mergeCell ref="F12:G12"/>
    <mergeCell ref="H12:I12"/>
    <mergeCell ref="H17:I17"/>
    <mergeCell ref="A18:J18"/>
    <mergeCell ref="A19:C19"/>
    <mergeCell ref="H19:J40"/>
    <mergeCell ref="B20:C20"/>
    <mergeCell ref="B21:C21"/>
    <mergeCell ref="B22:C22"/>
    <mergeCell ref="A15:C15"/>
    <mergeCell ref="D15:E15"/>
    <mergeCell ref="F15:G15"/>
    <mergeCell ref="H15:I15"/>
    <mergeCell ref="A16:C16"/>
    <mergeCell ref="D16:E16"/>
    <mergeCell ref="F16:G16"/>
    <mergeCell ref="H16:I16"/>
    <mergeCell ref="A23:E23"/>
    <mergeCell ref="B24:E24"/>
    <mergeCell ref="A37:E37"/>
    <mergeCell ref="B38:E38"/>
    <mergeCell ref="B39:E39"/>
    <mergeCell ref="B40:E40"/>
    <mergeCell ref="A17:C17"/>
    <mergeCell ref="D17:E17"/>
    <mergeCell ref="F17:G17"/>
    <mergeCell ref="B45:E45"/>
    <mergeCell ref="B46:E46"/>
    <mergeCell ref="B47:E47"/>
    <mergeCell ref="A48:E48"/>
    <mergeCell ref="G48:J48"/>
    <mergeCell ref="B49:E49"/>
    <mergeCell ref="A41:E41"/>
    <mergeCell ref="G41:J41"/>
    <mergeCell ref="B42:E42"/>
    <mergeCell ref="B43:E43"/>
    <mergeCell ref="A44:E44"/>
    <mergeCell ref="G44:J44"/>
    <mergeCell ref="B56:E56"/>
    <mergeCell ref="B57:E57"/>
    <mergeCell ref="B58:E58"/>
    <mergeCell ref="B59:E59"/>
    <mergeCell ref="B60:E60"/>
    <mergeCell ref="B61:E61"/>
    <mergeCell ref="B50:E50"/>
    <mergeCell ref="B51:E51"/>
    <mergeCell ref="B52:E52"/>
    <mergeCell ref="B53:E53"/>
    <mergeCell ref="B54:E54"/>
    <mergeCell ref="B55:E55"/>
    <mergeCell ref="A68:B68"/>
    <mergeCell ref="C68:D68"/>
    <mergeCell ref="F68:H68"/>
    <mergeCell ref="A69:B69"/>
    <mergeCell ref="C69:D69"/>
    <mergeCell ref="F69:H69"/>
    <mergeCell ref="B62:E62"/>
    <mergeCell ref="B63:E63"/>
    <mergeCell ref="B64:E64"/>
    <mergeCell ref="A65:E65"/>
    <mergeCell ref="A66:J66"/>
    <mergeCell ref="A67:D67"/>
    <mergeCell ref="E67:H67"/>
    <mergeCell ref="I67:J67"/>
    <mergeCell ref="A72:J72"/>
    <mergeCell ref="A73:C74"/>
    <mergeCell ref="G73:H73"/>
    <mergeCell ref="J73:J76"/>
    <mergeCell ref="G74:H74"/>
    <mergeCell ref="A75:C76"/>
    <mergeCell ref="G75:H75"/>
    <mergeCell ref="G76:H76"/>
    <mergeCell ref="A70:B70"/>
    <mergeCell ref="C70:D70"/>
    <mergeCell ref="F70:H70"/>
    <mergeCell ref="A71:B71"/>
    <mergeCell ref="C71:D71"/>
    <mergeCell ref="F71:H71"/>
    <mergeCell ref="A77:J77"/>
    <mergeCell ref="A78:D78"/>
    <mergeCell ref="E78:F78"/>
    <mergeCell ref="G78:H78"/>
    <mergeCell ref="I78:J78"/>
    <mergeCell ref="A79:D79"/>
    <mergeCell ref="E79:F79"/>
    <mergeCell ref="G79:H79"/>
    <mergeCell ref="I79:J79"/>
  </mergeCells>
  <dataValidations count="3">
    <dataValidation type="list" allowBlank="1" showInputMessage="1" showErrorMessage="1" sqref="I69:I71" xr:uid="{A8E5764F-3CC1-425E-8DE9-49FB67108101}">
      <formula1>"Abierta,Cerrada"</formula1>
    </dataValidation>
    <dataValidation type="list" allowBlank="1" showInputMessage="1" showErrorMessage="1" sqref="A69:B71" xr:uid="{02AFB554-C4D0-4FA5-A725-CC8B74F1401A}">
      <formula1>"AV,CI"</formula1>
    </dataValidation>
    <dataValidation type="list" allowBlank="1" showInputMessage="1" showErrorMessage="1" sqref="E69:E71" xr:uid="{2D7FEC37-0219-47F0-ACE9-17C3473B312F}">
      <formula1>"Correctiva,Preventiva, Mejora"</formula1>
    </dataValidation>
  </dataValidations>
  <printOptions horizontalCentered="1" verticalCentered="1"/>
  <pageMargins left="0.11811023622047245" right="0.19685039370078741" top="0.15748031496062992" bottom="0.15748031496062992" header="0.31496062992125984" footer="0.31496062992125984"/>
  <pageSetup paperSize="9" scale="60" fitToHeight="2" orientation="portrait" horizontalDpi="360" verticalDpi="360" r:id="rId1"/>
  <rowBreaks count="1" manualBreakCount="1">
    <brk id="40" max="9"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FE0A9350-A049-4E96-A53B-E494D4279472}">
          <x14:formula1>
            <xm:f>Trabajadores!$B$2:$B$165</xm:f>
          </x14:formula1>
          <xm:sqref>A8 D8 F8 H8 J8 A9 D9 F9 H9 J9 A10 D10 F10 H10 J10 A11 D11 F11 H11 J11 A12 D12 F12 H12 J12 A13 D13 F13 H13 J13 A14 D14 F14 H14 J14 A15 D15 F15 H15 J15 A16 D16 F16 H16 J16 A17 D17 F17 H17 J17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C31B8-C91E-4CBA-B043-D18065A0B44E}">
  <sheetPr codeName="Hoja17"/>
  <dimension ref="A1:S79"/>
  <sheetViews>
    <sheetView showGridLines="0" zoomScaleNormal="100" zoomScaleSheetLayoutView="100" workbookViewId="0">
      <pane ySplit="1" topLeftCell="A65" activePane="bottomLeft" state="frozen"/>
      <selection pane="bottomLeft" activeCell="D75" sqref="D75:E75"/>
    </sheetView>
  </sheetViews>
  <sheetFormatPr baseColWidth="10" defaultColWidth="9.42578125" defaultRowHeight="15" x14ac:dyDescent="0.25"/>
  <cols>
    <col min="1" max="1" width="5.85546875" customWidth="1"/>
    <col min="2" max="2" width="11.140625" customWidth="1"/>
    <col min="3" max="3" width="9.42578125" customWidth="1"/>
    <col min="4" max="4" width="10.7109375" customWidth="1"/>
    <col min="5" max="5" width="18.140625" customWidth="1"/>
    <col min="6" max="6" width="15.28515625" customWidth="1"/>
    <col min="7" max="7" width="12.140625" customWidth="1"/>
    <col min="8" max="8" width="22.85546875" customWidth="1"/>
    <col min="9" max="9" width="12.7109375" customWidth="1"/>
    <col min="10" max="10" width="25.140625" customWidth="1"/>
    <col min="11" max="11" width="2.42578125" customWidth="1"/>
    <col min="19" max="19" width="9.42578125" style="3"/>
  </cols>
  <sheetData>
    <row r="1" spans="1:19" ht="63.6" customHeight="1" thickBot="1" x14ac:dyDescent="0.3">
      <c r="A1" s="81"/>
      <c r="B1" s="82"/>
      <c r="C1" s="82"/>
      <c r="D1" s="256" t="s">
        <v>189</v>
      </c>
      <c r="E1" s="256"/>
      <c r="F1" s="256"/>
      <c r="G1" s="256"/>
      <c r="H1" s="257"/>
      <c r="I1" s="258" t="s">
        <v>1</v>
      </c>
      <c r="J1" s="259"/>
    </row>
    <row r="2" spans="1:19" ht="28.35" customHeight="1" x14ac:dyDescent="0.25">
      <c r="A2" s="260" t="s">
        <v>190</v>
      </c>
      <c r="B2" s="261"/>
      <c r="C2" s="261"/>
      <c r="D2" s="262" t="s">
        <v>3</v>
      </c>
      <c r="E2" s="263"/>
      <c r="F2" s="83" t="s">
        <v>191</v>
      </c>
      <c r="G2" s="264">
        <v>45435</v>
      </c>
      <c r="H2" s="265"/>
      <c r="I2" s="84" t="s">
        <v>5</v>
      </c>
      <c r="J2" s="85">
        <v>0</v>
      </c>
      <c r="S2" s="3">
        <v>1</v>
      </c>
    </row>
    <row r="3" spans="1:19" ht="28.35" customHeight="1" x14ac:dyDescent="0.25">
      <c r="A3" s="246" t="s">
        <v>192</v>
      </c>
      <c r="B3" s="247"/>
      <c r="C3" s="247"/>
      <c r="D3" s="266" t="s">
        <v>211</v>
      </c>
      <c r="E3" s="267"/>
      <c r="F3" s="86" t="s">
        <v>193</v>
      </c>
      <c r="G3" s="268"/>
      <c r="H3" s="269"/>
      <c r="I3" s="86" t="s">
        <v>194</v>
      </c>
      <c r="J3" s="87"/>
      <c r="S3" s="3">
        <v>1</v>
      </c>
    </row>
    <row r="4" spans="1:19" ht="24.95" customHeight="1" x14ac:dyDescent="0.25">
      <c r="A4" s="246" t="s">
        <v>195</v>
      </c>
      <c r="B4" s="247"/>
      <c r="C4" s="247"/>
      <c r="D4" s="248" t="s">
        <v>9</v>
      </c>
      <c r="E4" s="248"/>
      <c r="F4" s="249" t="s">
        <v>196</v>
      </c>
      <c r="G4" s="251" t="s">
        <v>17</v>
      </c>
      <c r="H4" s="252"/>
      <c r="I4" s="252"/>
      <c r="J4" s="253"/>
      <c r="S4" s="3">
        <v>1</v>
      </c>
    </row>
    <row r="5" spans="1:19" ht="24.95" customHeight="1" x14ac:dyDescent="0.25">
      <c r="A5" s="246" t="s">
        <v>197</v>
      </c>
      <c r="B5" s="247"/>
      <c r="C5" s="247"/>
      <c r="D5" s="254" t="s">
        <v>212</v>
      </c>
      <c r="E5" s="255"/>
      <c r="F5" s="250"/>
      <c r="G5" s="251" t="s">
        <v>15</v>
      </c>
      <c r="H5" s="252"/>
      <c r="I5" s="252"/>
      <c r="J5" s="253"/>
      <c r="S5" s="3">
        <v>1</v>
      </c>
    </row>
    <row r="6" spans="1:19" ht="42.75" customHeight="1" thickBot="1" x14ac:dyDescent="0.3">
      <c r="A6" s="237" t="s">
        <v>198</v>
      </c>
      <c r="B6" s="238"/>
      <c r="C6" s="238"/>
      <c r="D6" s="239"/>
      <c r="E6" s="240"/>
      <c r="F6" s="240"/>
      <c r="G6" s="240"/>
      <c r="H6" s="240"/>
      <c r="I6" s="240"/>
      <c r="J6" s="241"/>
      <c r="S6" s="3">
        <v>1</v>
      </c>
    </row>
    <row r="7" spans="1:19" ht="26.25" customHeight="1" x14ac:dyDescent="0.25">
      <c r="A7" s="242" t="s">
        <v>199</v>
      </c>
      <c r="B7" s="243"/>
      <c r="C7" s="243"/>
      <c r="D7" s="244"/>
      <c r="E7" s="244"/>
      <c r="F7" s="244"/>
      <c r="G7" s="244"/>
      <c r="H7" s="244"/>
      <c r="I7" s="244"/>
      <c r="J7" s="245"/>
      <c r="S7" s="3">
        <v>1</v>
      </c>
    </row>
    <row r="8" spans="1:19" s="16" customFormat="1" ht="21" customHeight="1" x14ac:dyDescent="0.25">
      <c r="A8" s="230"/>
      <c r="B8" s="230"/>
      <c r="C8" s="230"/>
      <c r="D8" s="231"/>
      <c r="E8" s="231"/>
      <c r="F8" s="230"/>
      <c r="G8" s="230"/>
      <c r="H8" s="230"/>
      <c r="I8" s="230"/>
      <c r="J8" s="88"/>
      <c r="S8" s="3">
        <v>1</v>
      </c>
    </row>
    <row r="9" spans="1:19" s="16" customFormat="1" ht="21" customHeight="1" x14ac:dyDescent="0.25">
      <c r="A9" s="232"/>
      <c r="B9" s="233"/>
      <c r="C9" s="234"/>
      <c r="D9" s="235"/>
      <c r="E9" s="236"/>
      <c r="F9" s="232"/>
      <c r="G9" s="234"/>
      <c r="H9" s="232"/>
      <c r="I9" s="234"/>
      <c r="J9" s="88"/>
      <c r="S9" s="3">
        <v>1</v>
      </c>
    </row>
    <row r="10" spans="1:19" s="16" customFormat="1" ht="21" customHeight="1" x14ac:dyDescent="0.25">
      <c r="A10" s="232"/>
      <c r="B10" s="233"/>
      <c r="C10" s="234"/>
      <c r="D10" s="235"/>
      <c r="E10" s="236"/>
      <c r="F10" s="232"/>
      <c r="G10" s="234"/>
      <c r="H10" s="232"/>
      <c r="I10" s="234"/>
      <c r="J10" s="88"/>
      <c r="S10" s="3">
        <v>1</v>
      </c>
    </row>
    <row r="11" spans="1:19" s="16" customFormat="1" ht="21" customHeight="1" x14ac:dyDescent="0.25">
      <c r="A11" s="232"/>
      <c r="B11" s="233"/>
      <c r="C11" s="234"/>
      <c r="D11" s="235"/>
      <c r="E11" s="236"/>
      <c r="F11" s="232"/>
      <c r="G11" s="234"/>
      <c r="H11" s="232"/>
      <c r="I11" s="234"/>
      <c r="J11" s="88"/>
      <c r="S11" s="3">
        <v>1</v>
      </c>
    </row>
    <row r="12" spans="1:19" s="16" customFormat="1" ht="21" customHeight="1" x14ac:dyDescent="0.25">
      <c r="A12" s="230"/>
      <c r="B12" s="230"/>
      <c r="C12" s="230"/>
      <c r="D12" s="231"/>
      <c r="E12" s="231"/>
      <c r="F12" s="230"/>
      <c r="G12" s="230"/>
      <c r="H12" s="230"/>
      <c r="I12" s="230"/>
      <c r="J12" s="88"/>
      <c r="S12" s="3">
        <v>1</v>
      </c>
    </row>
    <row r="13" spans="1:19" s="16" customFormat="1" ht="21" customHeight="1" x14ac:dyDescent="0.25">
      <c r="A13" s="230"/>
      <c r="B13" s="230"/>
      <c r="C13" s="230"/>
      <c r="D13" s="231"/>
      <c r="E13" s="231"/>
      <c r="F13" s="230"/>
      <c r="G13" s="230"/>
      <c r="H13" s="230"/>
      <c r="I13" s="230"/>
      <c r="J13" s="88"/>
      <c r="S13" s="3">
        <v>1</v>
      </c>
    </row>
    <row r="14" spans="1:19" s="16" customFormat="1" ht="21" customHeight="1" x14ac:dyDescent="0.25">
      <c r="A14" s="230"/>
      <c r="B14" s="230"/>
      <c r="C14" s="230"/>
      <c r="D14" s="231"/>
      <c r="E14" s="231"/>
      <c r="F14" s="230"/>
      <c r="G14" s="230"/>
      <c r="H14" s="230"/>
      <c r="I14" s="230"/>
      <c r="J14" s="88"/>
      <c r="S14" s="3">
        <v>1</v>
      </c>
    </row>
    <row r="15" spans="1:19" s="16" customFormat="1" ht="21" customHeight="1" x14ac:dyDescent="0.25">
      <c r="A15" s="230"/>
      <c r="B15" s="230"/>
      <c r="C15" s="230"/>
      <c r="D15" s="231"/>
      <c r="E15" s="231"/>
      <c r="F15" s="230"/>
      <c r="G15" s="230"/>
      <c r="H15" s="230"/>
      <c r="I15" s="230"/>
      <c r="J15" s="88"/>
      <c r="S15" s="3">
        <v>1</v>
      </c>
    </row>
    <row r="16" spans="1:19" s="16" customFormat="1" ht="21" customHeight="1" x14ac:dyDescent="0.25">
      <c r="A16" s="230"/>
      <c r="B16" s="230"/>
      <c r="C16" s="230"/>
      <c r="D16" s="231"/>
      <c r="E16" s="231"/>
      <c r="F16" s="230"/>
      <c r="G16" s="230"/>
      <c r="H16" s="230"/>
      <c r="I16" s="230"/>
      <c r="J16" s="88"/>
      <c r="S16" s="3">
        <v>1</v>
      </c>
    </row>
    <row r="17" spans="1:19" s="16" customFormat="1" ht="21" customHeight="1" x14ac:dyDescent="0.25">
      <c r="A17" s="230"/>
      <c r="B17" s="230"/>
      <c r="C17" s="230"/>
      <c r="D17" s="231"/>
      <c r="E17" s="231"/>
      <c r="F17" s="230"/>
      <c r="G17" s="230"/>
      <c r="H17" s="230"/>
      <c r="I17" s="230"/>
      <c r="J17" s="88"/>
      <c r="S17" s="3">
        <v>1</v>
      </c>
    </row>
    <row r="18" spans="1:19" ht="27" customHeight="1" x14ac:dyDescent="0.25">
      <c r="A18" s="195" t="s">
        <v>18</v>
      </c>
      <c r="B18" s="196"/>
      <c r="C18" s="196"/>
      <c r="D18" s="197"/>
      <c r="E18" s="197"/>
      <c r="F18" s="197"/>
      <c r="G18" s="197"/>
      <c r="H18" s="197"/>
      <c r="I18" s="197"/>
      <c r="J18" s="198"/>
      <c r="S18" s="3">
        <v>1</v>
      </c>
    </row>
    <row r="19" spans="1:19" s="16" customFormat="1" ht="30.75" customHeight="1" x14ac:dyDescent="0.25">
      <c r="A19" s="172" t="s">
        <v>19</v>
      </c>
      <c r="B19" s="173"/>
      <c r="C19" s="174"/>
      <c r="D19" s="13" t="s">
        <v>20</v>
      </c>
      <c r="E19" s="13" t="s">
        <v>5</v>
      </c>
      <c r="F19" s="14" t="s">
        <v>21</v>
      </c>
      <c r="G19" s="15"/>
      <c r="H19" s="175"/>
      <c r="I19" s="175"/>
      <c r="J19" s="176"/>
      <c r="S19" s="3">
        <v>1</v>
      </c>
    </row>
    <row r="20" spans="1:19" s="16" customFormat="1" ht="30.6" customHeight="1" x14ac:dyDescent="0.25">
      <c r="A20" s="89" t="s">
        <v>22</v>
      </c>
      <c r="B20" s="179" t="s">
        <v>23</v>
      </c>
      <c r="C20" s="180"/>
      <c r="D20" s="90">
        <v>0</v>
      </c>
      <c r="E20" s="91">
        <v>0</v>
      </c>
      <c r="F20" s="92">
        <f>+(D20/60)*E20</f>
        <v>0</v>
      </c>
      <c r="G20" s="21"/>
      <c r="H20" s="177"/>
      <c r="I20" s="177"/>
      <c r="J20" s="178"/>
      <c r="S20" s="3">
        <v>1</v>
      </c>
    </row>
    <row r="21" spans="1:19" s="16" customFormat="1" ht="36.75" customHeight="1" x14ac:dyDescent="0.25">
      <c r="A21" s="89" t="s">
        <v>24</v>
      </c>
      <c r="B21" s="179" t="s">
        <v>25</v>
      </c>
      <c r="C21" s="180"/>
      <c r="D21" s="90">
        <v>0</v>
      </c>
      <c r="E21" s="91">
        <v>0</v>
      </c>
      <c r="F21" s="20">
        <f>(D21/60)*E21</f>
        <v>0</v>
      </c>
      <c r="G21" s="21"/>
      <c r="H21" s="177"/>
      <c r="I21" s="177"/>
      <c r="J21" s="178"/>
      <c r="S21" s="3">
        <v>1</v>
      </c>
    </row>
    <row r="22" spans="1:19" s="16" customFormat="1" ht="36.75" customHeight="1" x14ac:dyDescent="0.25">
      <c r="A22" s="89" t="s">
        <v>26</v>
      </c>
      <c r="B22" s="179" t="s">
        <v>27</v>
      </c>
      <c r="C22" s="180"/>
      <c r="D22" s="18">
        <v>0</v>
      </c>
      <c r="E22" s="19">
        <v>0</v>
      </c>
      <c r="F22" s="20">
        <f>(D22/60)*E22</f>
        <v>0</v>
      </c>
      <c r="G22" s="21"/>
      <c r="H22" s="177"/>
      <c r="I22" s="177"/>
      <c r="J22" s="178"/>
      <c r="S22" s="3">
        <v>1</v>
      </c>
    </row>
    <row r="23" spans="1:19" s="16" customFormat="1" ht="30" customHeight="1" x14ac:dyDescent="0.25">
      <c r="A23" s="172" t="s">
        <v>28</v>
      </c>
      <c r="B23" s="173"/>
      <c r="C23" s="173"/>
      <c r="D23" s="173"/>
      <c r="E23" s="181"/>
      <c r="F23" s="14" t="s">
        <v>29</v>
      </c>
      <c r="G23" s="22"/>
      <c r="H23" s="177"/>
      <c r="I23" s="177"/>
      <c r="J23" s="178"/>
      <c r="S23" s="3">
        <v>1</v>
      </c>
    </row>
    <row r="24" spans="1:19" s="16" customFormat="1" ht="20.100000000000001" customHeight="1" x14ac:dyDescent="0.25">
      <c r="A24" s="17">
        <v>2.1</v>
      </c>
      <c r="B24" s="153" t="s">
        <v>30</v>
      </c>
      <c r="C24" s="153"/>
      <c r="D24" s="153"/>
      <c r="E24" s="163"/>
      <c r="F24" s="93">
        <v>0</v>
      </c>
      <c r="G24" s="24"/>
      <c r="H24" s="177"/>
      <c r="I24" s="177"/>
      <c r="J24" s="178"/>
      <c r="S24" s="3">
        <v>1</v>
      </c>
    </row>
    <row r="25" spans="1:19" s="16" customFormat="1" ht="20.100000000000001" customHeight="1" x14ac:dyDescent="0.25">
      <c r="A25" s="17">
        <v>2.2000000000000002</v>
      </c>
      <c r="B25" s="25" t="s">
        <v>31</v>
      </c>
      <c r="C25" s="25"/>
      <c r="D25" s="25"/>
      <c r="E25" s="26"/>
      <c r="F25" s="93">
        <v>0</v>
      </c>
      <c r="G25" s="24"/>
      <c r="H25" s="177"/>
      <c r="I25" s="177"/>
      <c r="J25" s="178"/>
      <c r="S25" s="3">
        <v>1</v>
      </c>
    </row>
    <row r="26" spans="1:19" s="16" customFormat="1" ht="20.100000000000001" customHeight="1" x14ac:dyDescent="0.25">
      <c r="A26" s="17">
        <v>2.2999999999999998</v>
      </c>
      <c r="B26" s="25" t="s">
        <v>32</v>
      </c>
      <c r="C26" s="25"/>
      <c r="D26" s="25"/>
      <c r="E26" s="26"/>
      <c r="F26" s="94">
        <v>0</v>
      </c>
      <c r="G26" s="24"/>
      <c r="H26" s="177"/>
      <c r="I26" s="177"/>
      <c r="J26" s="178"/>
      <c r="S26" s="3">
        <v>1</v>
      </c>
    </row>
    <row r="27" spans="1:19" s="16" customFormat="1" ht="20.100000000000001" customHeight="1" x14ac:dyDescent="0.25">
      <c r="A27" s="17">
        <v>2.4</v>
      </c>
      <c r="B27" s="25" t="s">
        <v>33</v>
      </c>
      <c r="C27" s="25"/>
      <c r="D27" s="25"/>
      <c r="E27" s="26"/>
      <c r="F27" s="94">
        <v>0</v>
      </c>
      <c r="G27" s="24"/>
      <c r="H27" s="177"/>
      <c r="I27" s="177"/>
      <c r="J27" s="178"/>
      <c r="S27" s="3">
        <v>1</v>
      </c>
    </row>
    <row r="28" spans="1:19" s="16" customFormat="1" ht="20.100000000000001" customHeight="1" x14ac:dyDescent="0.25">
      <c r="A28" s="17">
        <v>2.5</v>
      </c>
      <c r="B28" s="25" t="s">
        <v>34</v>
      </c>
      <c r="C28" s="25"/>
      <c r="D28" s="25"/>
      <c r="E28" s="26"/>
      <c r="F28" s="94">
        <v>0</v>
      </c>
      <c r="G28" s="24"/>
      <c r="H28" s="177"/>
      <c r="I28" s="177"/>
      <c r="J28" s="178"/>
      <c r="S28" s="3">
        <v>1</v>
      </c>
    </row>
    <row r="29" spans="1:19" s="16" customFormat="1" ht="20.100000000000001" customHeight="1" x14ac:dyDescent="0.25">
      <c r="A29" s="17">
        <v>2.6</v>
      </c>
      <c r="B29" s="25" t="s">
        <v>35</v>
      </c>
      <c r="C29" s="25"/>
      <c r="D29" s="25"/>
      <c r="E29" s="26"/>
      <c r="F29" s="94">
        <v>0</v>
      </c>
      <c r="G29" s="24"/>
      <c r="H29" s="177"/>
      <c r="I29" s="177"/>
      <c r="J29" s="178"/>
      <c r="S29" s="3">
        <v>1</v>
      </c>
    </row>
    <row r="30" spans="1:19" s="16" customFormat="1" ht="20.100000000000001" customHeight="1" x14ac:dyDescent="0.25">
      <c r="A30" s="17">
        <v>2.7</v>
      </c>
      <c r="B30" s="25" t="s">
        <v>36</v>
      </c>
      <c r="C30" s="25"/>
      <c r="D30" s="25"/>
      <c r="E30" s="26"/>
      <c r="F30" s="94">
        <v>0</v>
      </c>
      <c r="G30" s="24"/>
      <c r="H30" s="177"/>
      <c r="I30" s="177"/>
      <c r="J30" s="178"/>
      <c r="S30" s="3">
        <v>1</v>
      </c>
    </row>
    <row r="31" spans="1:19" s="16" customFormat="1" ht="20.100000000000001" customHeight="1" x14ac:dyDescent="0.25">
      <c r="A31" s="17">
        <v>2.8</v>
      </c>
      <c r="B31" s="25" t="s">
        <v>37</v>
      </c>
      <c r="C31" s="25"/>
      <c r="D31" s="25"/>
      <c r="E31" s="26"/>
      <c r="F31" s="94">
        <v>0</v>
      </c>
      <c r="G31" s="24"/>
      <c r="H31" s="177"/>
      <c r="I31" s="177"/>
      <c r="J31" s="178"/>
      <c r="S31" s="3">
        <v>1</v>
      </c>
    </row>
    <row r="32" spans="1:19" s="16" customFormat="1" ht="20.100000000000001" customHeight="1" x14ac:dyDescent="0.25">
      <c r="A32" s="17">
        <v>2.9</v>
      </c>
      <c r="B32" s="25" t="s">
        <v>38</v>
      </c>
      <c r="C32" s="25"/>
      <c r="D32" s="25"/>
      <c r="E32" s="26"/>
      <c r="F32" s="94">
        <v>0</v>
      </c>
      <c r="G32" s="24"/>
      <c r="H32" s="177"/>
      <c r="I32" s="177"/>
      <c r="J32" s="178"/>
      <c r="S32" s="3">
        <v>1</v>
      </c>
    </row>
    <row r="33" spans="1:19" s="16" customFormat="1" ht="20.100000000000001" customHeight="1" x14ac:dyDescent="0.25">
      <c r="A33" s="28" t="s">
        <v>39</v>
      </c>
      <c r="B33" s="25" t="s">
        <v>40</v>
      </c>
      <c r="C33" s="25"/>
      <c r="D33" s="25"/>
      <c r="E33" s="26"/>
      <c r="F33" s="94">
        <v>0</v>
      </c>
      <c r="G33" s="24"/>
      <c r="H33" s="177"/>
      <c r="I33" s="177"/>
      <c r="J33" s="178"/>
      <c r="S33" s="3">
        <v>1</v>
      </c>
    </row>
    <row r="34" spans="1:19" s="16" customFormat="1" ht="20.100000000000001" customHeight="1" x14ac:dyDescent="0.25">
      <c r="A34" s="17">
        <v>2.11</v>
      </c>
      <c r="B34" s="25" t="s">
        <v>41</v>
      </c>
      <c r="C34" s="25"/>
      <c r="D34" s="25"/>
      <c r="E34" s="26"/>
      <c r="F34" s="94">
        <v>0</v>
      </c>
      <c r="G34" s="24"/>
      <c r="H34" s="177"/>
      <c r="I34" s="177"/>
      <c r="J34" s="178"/>
      <c r="S34" s="3">
        <v>1</v>
      </c>
    </row>
    <row r="35" spans="1:19" s="16" customFormat="1" ht="20.100000000000001" customHeight="1" x14ac:dyDescent="0.25">
      <c r="A35" s="17">
        <v>2.12</v>
      </c>
      <c r="B35" s="25" t="s">
        <v>42</v>
      </c>
      <c r="C35" s="25"/>
      <c r="D35" s="25"/>
      <c r="E35" s="26"/>
      <c r="F35" s="94">
        <v>0</v>
      </c>
      <c r="G35" s="24"/>
      <c r="H35" s="177"/>
      <c r="I35" s="177"/>
      <c r="J35" s="178"/>
      <c r="S35" s="3">
        <v>1</v>
      </c>
    </row>
    <row r="36" spans="1:19" s="16" customFormat="1" ht="20.100000000000001" customHeight="1" x14ac:dyDescent="0.25">
      <c r="A36" s="17">
        <v>2.13</v>
      </c>
      <c r="B36" s="25" t="s">
        <v>43</v>
      </c>
      <c r="C36" s="25"/>
      <c r="D36" s="25"/>
      <c r="E36" s="26"/>
      <c r="F36" s="94">
        <v>0</v>
      </c>
      <c r="G36" s="24"/>
      <c r="H36" s="177"/>
      <c r="I36" s="177"/>
      <c r="J36" s="178"/>
      <c r="S36" s="3">
        <v>1</v>
      </c>
    </row>
    <row r="37" spans="1:19" s="16" customFormat="1" ht="25.5" customHeight="1" x14ac:dyDescent="0.25">
      <c r="A37" s="225" t="s">
        <v>44</v>
      </c>
      <c r="B37" s="226"/>
      <c r="C37" s="226"/>
      <c r="D37" s="226"/>
      <c r="E37" s="227"/>
      <c r="F37" s="29">
        <f>SUM(F24:F36)</f>
        <v>0</v>
      </c>
      <c r="G37" s="30"/>
      <c r="H37" s="177"/>
      <c r="I37" s="177"/>
      <c r="J37" s="178"/>
      <c r="S37" s="3">
        <v>1</v>
      </c>
    </row>
    <row r="38" spans="1:19" s="16" customFormat="1" ht="24.75" customHeight="1" x14ac:dyDescent="0.25">
      <c r="A38" s="95" t="s">
        <v>45</v>
      </c>
      <c r="B38" s="228" t="s">
        <v>46</v>
      </c>
      <c r="C38" s="228"/>
      <c r="D38" s="228"/>
      <c r="E38" s="228"/>
      <c r="F38" s="96">
        <v>0</v>
      </c>
      <c r="G38" s="22"/>
      <c r="H38" s="177"/>
      <c r="I38" s="177"/>
      <c r="J38" s="178"/>
      <c r="S38" s="3">
        <v>1</v>
      </c>
    </row>
    <row r="39" spans="1:19" s="16" customFormat="1" ht="25.5" customHeight="1" x14ac:dyDescent="0.25">
      <c r="A39" s="97" t="s">
        <v>47</v>
      </c>
      <c r="B39" s="229" t="s">
        <v>48</v>
      </c>
      <c r="C39" s="229"/>
      <c r="D39" s="229"/>
      <c r="E39" s="229"/>
      <c r="F39" s="98">
        <v>0</v>
      </c>
      <c r="G39" s="33"/>
      <c r="H39" s="177"/>
      <c r="I39" s="177"/>
      <c r="J39" s="178"/>
      <c r="S39" s="3">
        <v>1</v>
      </c>
    </row>
    <row r="40" spans="1:19" s="16" customFormat="1" ht="30.75" customHeight="1" thickBot="1" x14ac:dyDescent="0.3">
      <c r="A40" s="97" t="s">
        <v>49</v>
      </c>
      <c r="B40" s="229" t="s">
        <v>50</v>
      </c>
      <c r="C40" s="229"/>
      <c r="D40" s="229"/>
      <c r="E40" s="229"/>
      <c r="F40" s="98">
        <v>0</v>
      </c>
      <c r="G40" s="22"/>
      <c r="H40" s="177"/>
      <c r="I40" s="177"/>
      <c r="J40" s="178"/>
      <c r="S40" s="3">
        <v>1</v>
      </c>
    </row>
    <row r="41" spans="1:19" ht="35.25" customHeight="1" x14ac:dyDescent="0.25">
      <c r="A41" s="170" t="s">
        <v>51</v>
      </c>
      <c r="B41" s="171"/>
      <c r="C41" s="171"/>
      <c r="D41" s="171"/>
      <c r="E41" s="171"/>
      <c r="F41" s="99" t="s">
        <v>52</v>
      </c>
      <c r="G41" s="167"/>
      <c r="H41" s="167"/>
      <c r="I41" s="167"/>
      <c r="J41" s="168"/>
      <c r="L41" s="16"/>
      <c r="M41" s="16"/>
      <c r="N41" s="16"/>
      <c r="S41" s="3">
        <v>1</v>
      </c>
    </row>
    <row r="42" spans="1:19" ht="36.75" customHeight="1" x14ac:dyDescent="0.25">
      <c r="A42" s="100" t="s">
        <v>200</v>
      </c>
      <c r="B42" s="223" t="s">
        <v>201</v>
      </c>
      <c r="C42" s="223"/>
      <c r="D42" s="223"/>
      <c r="E42" s="223"/>
      <c r="F42" s="101">
        <v>0</v>
      </c>
      <c r="G42" s="37"/>
      <c r="H42" s="38"/>
      <c r="I42" s="38"/>
      <c r="J42" s="39"/>
      <c r="K42" s="40"/>
      <c r="L42" s="16"/>
      <c r="M42" s="16"/>
      <c r="N42" s="16"/>
      <c r="S42" s="3">
        <v>1</v>
      </c>
    </row>
    <row r="43" spans="1:19" ht="36.75" customHeight="1" thickBot="1" x14ac:dyDescent="0.3">
      <c r="A43" s="102" t="s">
        <v>202</v>
      </c>
      <c r="B43" s="224" t="s">
        <v>54</v>
      </c>
      <c r="C43" s="224"/>
      <c r="D43" s="224"/>
      <c r="E43" s="224"/>
      <c r="F43" s="103">
        <v>0</v>
      </c>
      <c r="G43" s="43"/>
      <c r="H43" s="44"/>
      <c r="I43" s="44"/>
      <c r="J43" s="45"/>
      <c r="K43" s="40"/>
      <c r="L43" s="16"/>
      <c r="M43" s="16"/>
      <c r="N43" s="16"/>
      <c r="S43" s="3">
        <v>1</v>
      </c>
    </row>
    <row r="44" spans="1:19" ht="37.5" customHeight="1" x14ac:dyDescent="0.25">
      <c r="A44" s="170" t="s">
        <v>55</v>
      </c>
      <c r="B44" s="171"/>
      <c r="C44" s="171"/>
      <c r="D44" s="171"/>
      <c r="E44" s="171"/>
      <c r="F44" s="104" t="s">
        <v>56</v>
      </c>
      <c r="G44" s="167"/>
      <c r="H44" s="167"/>
      <c r="I44" s="167"/>
      <c r="J44" s="168"/>
      <c r="K44" s="40"/>
      <c r="L44" s="16"/>
      <c r="M44" s="16"/>
      <c r="N44" s="16"/>
      <c r="S44" s="3">
        <v>1</v>
      </c>
    </row>
    <row r="45" spans="1:19" ht="28.5" customHeight="1" x14ac:dyDescent="0.25">
      <c r="A45" s="105" t="s">
        <v>203</v>
      </c>
      <c r="B45" s="223" t="s">
        <v>57</v>
      </c>
      <c r="C45" s="223"/>
      <c r="D45" s="223"/>
      <c r="E45" s="223"/>
      <c r="F45" s="106">
        <v>0</v>
      </c>
      <c r="G45" s="47"/>
      <c r="H45" s="48"/>
      <c r="I45" s="48"/>
      <c r="J45" s="49"/>
      <c r="K45" s="40"/>
      <c r="L45" s="16"/>
      <c r="M45" s="16"/>
      <c r="N45" s="16"/>
      <c r="S45" s="3">
        <v>1</v>
      </c>
    </row>
    <row r="46" spans="1:19" ht="30.75" customHeight="1" x14ac:dyDescent="0.25">
      <c r="A46" s="105" t="s">
        <v>204</v>
      </c>
      <c r="B46" s="224" t="s">
        <v>58</v>
      </c>
      <c r="C46" s="224"/>
      <c r="D46" s="224"/>
      <c r="E46" s="224"/>
      <c r="F46" s="106">
        <v>0</v>
      </c>
      <c r="G46" s="47"/>
      <c r="H46" s="48"/>
      <c r="I46" s="48"/>
      <c r="J46" s="49"/>
      <c r="K46" s="40"/>
      <c r="L46" s="16"/>
      <c r="M46" s="16"/>
      <c r="N46" s="16"/>
      <c r="S46" s="3">
        <v>1</v>
      </c>
    </row>
    <row r="47" spans="1:19" ht="30.75" customHeight="1" thickBot="1" x14ac:dyDescent="0.3">
      <c r="A47" s="105" t="s">
        <v>205</v>
      </c>
      <c r="B47" s="224" t="s">
        <v>59</v>
      </c>
      <c r="C47" s="224"/>
      <c r="D47" s="224"/>
      <c r="E47" s="224"/>
      <c r="F47" s="106">
        <v>0</v>
      </c>
      <c r="G47" s="50"/>
      <c r="H47" s="44"/>
      <c r="I47" s="44"/>
      <c r="J47" s="45"/>
      <c r="K47" s="40"/>
      <c r="L47" s="16"/>
      <c r="M47" s="16"/>
      <c r="N47" s="16"/>
      <c r="S47" s="3">
        <v>1</v>
      </c>
    </row>
    <row r="48" spans="1:19" ht="31.5" customHeight="1" x14ac:dyDescent="0.25">
      <c r="A48" s="170" t="s">
        <v>60</v>
      </c>
      <c r="B48" s="171"/>
      <c r="C48" s="171"/>
      <c r="D48" s="171"/>
      <c r="E48" s="171"/>
      <c r="F48" s="104" t="s">
        <v>52</v>
      </c>
      <c r="G48" s="167"/>
      <c r="H48" s="167"/>
      <c r="I48" s="167"/>
      <c r="J48" s="168"/>
      <c r="K48" s="40"/>
      <c r="L48" s="16"/>
      <c r="M48" s="16"/>
      <c r="N48" s="16"/>
      <c r="S48" s="3">
        <v>1</v>
      </c>
    </row>
    <row r="49" spans="1:19" ht="20.100000000000001" customHeight="1" x14ac:dyDescent="0.25">
      <c r="A49" s="17">
        <v>5.0999999999999996</v>
      </c>
      <c r="B49" s="153" t="s">
        <v>61</v>
      </c>
      <c r="C49" s="153"/>
      <c r="D49" s="153"/>
      <c r="E49" s="163"/>
      <c r="F49" s="107">
        <v>0</v>
      </c>
      <c r="G49" s="33"/>
      <c r="H49" s="48"/>
      <c r="I49" s="48"/>
      <c r="J49" s="49"/>
      <c r="K49" s="40"/>
      <c r="S49" s="3">
        <v>1</v>
      </c>
    </row>
    <row r="50" spans="1:19" ht="20.100000000000001" customHeight="1" x14ac:dyDescent="0.25">
      <c r="A50" s="17">
        <v>5.2</v>
      </c>
      <c r="B50" s="153" t="s">
        <v>62</v>
      </c>
      <c r="C50" s="153"/>
      <c r="D50" s="153"/>
      <c r="E50" s="163"/>
      <c r="F50" s="107">
        <v>0</v>
      </c>
      <c r="G50" s="33"/>
      <c r="H50" s="48"/>
      <c r="I50" s="48"/>
      <c r="J50" s="49"/>
      <c r="K50" s="40"/>
      <c r="S50" s="3">
        <v>1</v>
      </c>
    </row>
    <row r="51" spans="1:19" ht="20.100000000000001" customHeight="1" x14ac:dyDescent="0.25">
      <c r="A51" s="17">
        <v>5.3</v>
      </c>
      <c r="B51" s="153" t="s">
        <v>63</v>
      </c>
      <c r="C51" s="153"/>
      <c r="D51" s="153"/>
      <c r="E51" s="163"/>
      <c r="F51" s="107">
        <v>0</v>
      </c>
      <c r="G51" s="33"/>
      <c r="H51" s="48"/>
      <c r="I51" s="48"/>
      <c r="J51" s="49"/>
      <c r="K51" s="40"/>
      <c r="S51" s="3">
        <v>1</v>
      </c>
    </row>
    <row r="52" spans="1:19" ht="20.100000000000001" customHeight="1" x14ac:dyDescent="0.25">
      <c r="A52" s="17">
        <v>5.4</v>
      </c>
      <c r="B52" s="153" t="s">
        <v>64</v>
      </c>
      <c r="C52" s="153"/>
      <c r="D52" s="153"/>
      <c r="E52" s="163"/>
      <c r="F52" s="107">
        <v>0</v>
      </c>
      <c r="G52" s="33"/>
      <c r="H52" s="48"/>
      <c r="I52" s="48"/>
      <c r="J52" s="49"/>
      <c r="K52" s="40"/>
      <c r="S52" s="3">
        <v>1</v>
      </c>
    </row>
    <row r="53" spans="1:19" ht="20.100000000000001" customHeight="1" x14ac:dyDescent="0.25">
      <c r="A53" s="17">
        <v>5.5</v>
      </c>
      <c r="B53" s="153" t="s">
        <v>65</v>
      </c>
      <c r="C53" s="153"/>
      <c r="D53" s="153"/>
      <c r="E53" s="163"/>
      <c r="F53" s="107">
        <v>0</v>
      </c>
      <c r="G53" s="33"/>
      <c r="H53" s="48"/>
      <c r="I53" s="48"/>
      <c r="J53" s="49"/>
      <c r="K53" s="40"/>
      <c r="S53" s="3">
        <v>1</v>
      </c>
    </row>
    <row r="54" spans="1:19" ht="20.100000000000001" customHeight="1" x14ac:dyDescent="0.25">
      <c r="A54" s="17">
        <v>5.6</v>
      </c>
      <c r="B54" s="153" t="s">
        <v>66</v>
      </c>
      <c r="C54" s="153"/>
      <c r="D54" s="153"/>
      <c r="E54" s="163"/>
      <c r="F54" s="107">
        <v>0</v>
      </c>
      <c r="G54" s="33"/>
      <c r="H54" s="48"/>
      <c r="I54" s="48"/>
      <c r="J54" s="49"/>
      <c r="K54" s="40"/>
      <c r="S54" s="3">
        <v>1</v>
      </c>
    </row>
    <row r="55" spans="1:19" ht="20.100000000000001" customHeight="1" x14ac:dyDescent="0.25">
      <c r="A55" s="17">
        <v>5.7</v>
      </c>
      <c r="B55" s="153" t="s">
        <v>67</v>
      </c>
      <c r="C55" s="153"/>
      <c r="D55" s="153"/>
      <c r="E55" s="163"/>
      <c r="F55" s="107">
        <v>0</v>
      </c>
      <c r="G55" s="33"/>
      <c r="H55" s="48"/>
      <c r="I55" s="48"/>
      <c r="J55" s="49"/>
      <c r="K55" s="40"/>
      <c r="S55" s="3">
        <v>1</v>
      </c>
    </row>
    <row r="56" spans="1:19" ht="20.100000000000001" customHeight="1" x14ac:dyDescent="0.25">
      <c r="A56" s="17">
        <v>5.8</v>
      </c>
      <c r="B56" s="153" t="s">
        <v>68</v>
      </c>
      <c r="C56" s="153"/>
      <c r="D56" s="153"/>
      <c r="E56" s="163"/>
      <c r="F56" s="107">
        <v>0</v>
      </c>
      <c r="G56" s="33"/>
      <c r="H56" s="48"/>
      <c r="I56" s="48"/>
      <c r="J56" s="49"/>
      <c r="K56" s="40"/>
      <c r="S56" s="3">
        <v>1</v>
      </c>
    </row>
    <row r="57" spans="1:19" ht="20.100000000000001" customHeight="1" x14ac:dyDescent="0.25">
      <c r="A57" s="17">
        <v>5.9</v>
      </c>
      <c r="B57" s="153" t="s">
        <v>69</v>
      </c>
      <c r="C57" s="153"/>
      <c r="D57" s="153"/>
      <c r="E57" s="163"/>
      <c r="F57" s="107">
        <v>0</v>
      </c>
      <c r="G57" s="33"/>
      <c r="H57" s="48"/>
      <c r="I57" s="48"/>
      <c r="J57" s="49"/>
      <c r="K57" s="40"/>
      <c r="S57" s="3">
        <v>1</v>
      </c>
    </row>
    <row r="58" spans="1:19" ht="20.100000000000001" customHeight="1" x14ac:dyDescent="0.25">
      <c r="A58" s="17" t="s">
        <v>70</v>
      </c>
      <c r="B58" s="153" t="s">
        <v>71</v>
      </c>
      <c r="C58" s="153"/>
      <c r="D58" s="153"/>
      <c r="E58" s="163"/>
      <c r="F58" s="107">
        <v>0</v>
      </c>
      <c r="G58" s="33"/>
      <c r="H58" s="48"/>
      <c r="I58" s="48"/>
      <c r="J58" s="49"/>
      <c r="K58" s="40"/>
      <c r="S58" s="3">
        <v>1</v>
      </c>
    </row>
    <row r="59" spans="1:19" ht="20.100000000000001" customHeight="1" x14ac:dyDescent="0.25">
      <c r="A59" s="17" t="s">
        <v>72</v>
      </c>
      <c r="B59" s="153" t="s">
        <v>73</v>
      </c>
      <c r="C59" s="153"/>
      <c r="D59" s="153"/>
      <c r="E59" s="163"/>
      <c r="F59" s="107">
        <v>0</v>
      </c>
      <c r="G59" s="33"/>
      <c r="H59" s="48"/>
      <c r="I59" s="48"/>
      <c r="J59" s="49"/>
      <c r="K59" s="40"/>
      <c r="S59" s="3">
        <v>1</v>
      </c>
    </row>
    <row r="60" spans="1:19" ht="20.100000000000001" customHeight="1" x14ac:dyDescent="0.25">
      <c r="A60" s="17" t="s">
        <v>74</v>
      </c>
      <c r="B60" s="153" t="s">
        <v>75</v>
      </c>
      <c r="C60" s="153"/>
      <c r="D60" s="153"/>
      <c r="E60" s="153"/>
      <c r="F60" s="36">
        <f>SUM(F61:F63)</f>
        <v>0</v>
      </c>
      <c r="G60" s="33"/>
      <c r="H60" s="48"/>
      <c r="I60" s="48"/>
      <c r="J60" s="49"/>
      <c r="K60" s="40"/>
      <c r="S60" s="3">
        <v>1</v>
      </c>
    </row>
    <row r="61" spans="1:19" ht="20.100000000000001" customHeight="1" x14ac:dyDescent="0.25">
      <c r="A61" s="17" t="s">
        <v>76</v>
      </c>
      <c r="B61" s="153" t="s">
        <v>77</v>
      </c>
      <c r="C61" s="153"/>
      <c r="D61" s="153"/>
      <c r="E61" s="153"/>
      <c r="F61" s="107">
        <v>0</v>
      </c>
      <c r="G61" s="33"/>
      <c r="H61" s="48"/>
      <c r="I61" s="48"/>
      <c r="J61" s="49"/>
      <c r="K61" s="40"/>
      <c r="S61" s="3">
        <v>1</v>
      </c>
    </row>
    <row r="62" spans="1:19" ht="20.100000000000001" customHeight="1" x14ac:dyDescent="0.25">
      <c r="A62" s="17" t="s">
        <v>78</v>
      </c>
      <c r="B62" s="153" t="s">
        <v>79</v>
      </c>
      <c r="C62" s="153"/>
      <c r="D62" s="153"/>
      <c r="E62" s="153"/>
      <c r="F62" s="107">
        <v>0</v>
      </c>
      <c r="G62" s="33"/>
      <c r="H62" s="48"/>
      <c r="I62" s="48"/>
      <c r="J62" s="49"/>
      <c r="K62" s="40"/>
      <c r="S62" s="3">
        <v>1</v>
      </c>
    </row>
    <row r="63" spans="1:19" ht="20.100000000000001" customHeight="1" x14ac:dyDescent="0.25">
      <c r="A63" s="17" t="s">
        <v>80</v>
      </c>
      <c r="B63" s="153" t="s">
        <v>81</v>
      </c>
      <c r="C63" s="153"/>
      <c r="D63" s="153"/>
      <c r="E63" s="153"/>
      <c r="F63" s="107">
        <v>0</v>
      </c>
      <c r="G63" s="33"/>
      <c r="H63" s="48"/>
      <c r="I63" s="48"/>
      <c r="J63" s="49"/>
      <c r="K63" s="40"/>
      <c r="S63" s="3">
        <v>1</v>
      </c>
    </row>
    <row r="64" spans="1:19" ht="20.100000000000001" customHeight="1" x14ac:dyDescent="0.25">
      <c r="A64" s="17">
        <v>5.13</v>
      </c>
      <c r="B64" s="153" t="s">
        <v>82</v>
      </c>
      <c r="C64" s="153"/>
      <c r="D64" s="153"/>
      <c r="E64" s="153"/>
      <c r="F64" s="107">
        <v>0</v>
      </c>
      <c r="G64" s="33"/>
      <c r="H64" s="48"/>
      <c r="I64" s="48"/>
      <c r="J64" s="49"/>
      <c r="K64" s="40"/>
      <c r="S64" s="3">
        <v>1</v>
      </c>
    </row>
    <row r="65" spans="1:19" ht="25.5" customHeight="1" thickBot="1" x14ac:dyDescent="0.3">
      <c r="A65" s="154" t="s">
        <v>83</v>
      </c>
      <c r="B65" s="155"/>
      <c r="C65" s="155"/>
      <c r="D65" s="155"/>
      <c r="E65" s="156"/>
      <c r="F65" s="29">
        <f>SUM(F49:F64)-F60</f>
        <v>0</v>
      </c>
      <c r="G65" s="43"/>
      <c r="H65" s="44"/>
      <c r="I65" s="44"/>
      <c r="J65" s="45"/>
      <c r="K65" s="40"/>
      <c r="S65" s="3">
        <v>1</v>
      </c>
    </row>
    <row r="66" spans="1:19" ht="30.75" customHeight="1" x14ac:dyDescent="0.25">
      <c r="A66" s="108" t="s">
        <v>84</v>
      </c>
      <c r="B66" s="109"/>
      <c r="C66" s="109"/>
      <c r="D66" s="109"/>
      <c r="E66" s="109"/>
      <c r="F66" s="109"/>
      <c r="G66" s="109"/>
      <c r="H66" s="109"/>
      <c r="I66" s="109"/>
      <c r="J66" s="121"/>
      <c r="S66" s="3">
        <v>1</v>
      </c>
    </row>
    <row r="67" spans="1:19" s="55" customFormat="1" ht="28.35" customHeight="1" x14ac:dyDescent="0.25">
      <c r="A67" s="157" t="s">
        <v>85</v>
      </c>
      <c r="B67" s="158"/>
      <c r="C67" s="158"/>
      <c r="D67" s="159"/>
      <c r="E67" s="128" t="s">
        <v>86</v>
      </c>
      <c r="F67" s="160"/>
      <c r="G67" s="160"/>
      <c r="H67" s="129"/>
      <c r="I67" s="161" t="s">
        <v>87</v>
      </c>
      <c r="J67" s="162"/>
      <c r="S67" s="3">
        <v>1</v>
      </c>
    </row>
    <row r="68" spans="1:19" s="58" customFormat="1" ht="25.5" x14ac:dyDescent="0.25">
      <c r="A68" s="151" t="s">
        <v>88</v>
      </c>
      <c r="B68" s="152"/>
      <c r="C68" s="152" t="s">
        <v>89</v>
      </c>
      <c r="D68" s="152"/>
      <c r="E68" s="56" t="s">
        <v>90</v>
      </c>
      <c r="F68" s="152" t="s">
        <v>91</v>
      </c>
      <c r="G68" s="152"/>
      <c r="H68" s="152"/>
      <c r="I68" s="56" t="s">
        <v>206</v>
      </c>
      <c r="J68" s="57" t="s">
        <v>93</v>
      </c>
      <c r="S68" s="3">
        <v>1</v>
      </c>
    </row>
    <row r="69" spans="1:19" s="58" customFormat="1" ht="36" customHeight="1" x14ac:dyDescent="0.25">
      <c r="A69" s="144" t="s">
        <v>207</v>
      </c>
      <c r="B69" s="145"/>
      <c r="C69" s="146"/>
      <c r="D69" s="145"/>
      <c r="E69" s="59" t="s">
        <v>208</v>
      </c>
      <c r="F69" s="147"/>
      <c r="G69" s="147"/>
      <c r="H69" s="147"/>
      <c r="I69" s="60"/>
      <c r="J69" s="61"/>
      <c r="S69" s="3">
        <v>1</v>
      </c>
    </row>
    <row r="70" spans="1:19" s="58" customFormat="1" ht="36" customHeight="1" x14ac:dyDescent="0.25">
      <c r="A70" s="144"/>
      <c r="B70" s="145"/>
      <c r="C70" s="146"/>
      <c r="D70" s="145"/>
      <c r="E70" s="59"/>
      <c r="F70" s="147"/>
      <c r="G70" s="147"/>
      <c r="H70" s="147"/>
      <c r="I70" s="60"/>
      <c r="J70" s="61"/>
      <c r="S70" s="3">
        <v>1</v>
      </c>
    </row>
    <row r="71" spans="1:19" s="58" customFormat="1" ht="36" customHeight="1" thickBot="1" x14ac:dyDescent="0.3">
      <c r="A71" s="144"/>
      <c r="B71" s="145"/>
      <c r="C71" s="148"/>
      <c r="D71" s="149"/>
      <c r="E71" s="59"/>
      <c r="F71" s="150"/>
      <c r="G71" s="150"/>
      <c r="H71" s="150"/>
      <c r="I71" s="63"/>
      <c r="J71" s="64"/>
      <c r="S71" s="3">
        <v>1</v>
      </c>
    </row>
    <row r="72" spans="1:19" ht="27.75" customHeight="1" x14ac:dyDescent="0.25">
      <c r="A72" s="108" t="s">
        <v>94</v>
      </c>
      <c r="B72" s="109"/>
      <c r="C72" s="109"/>
      <c r="D72" s="109"/>
      <c r="E72" s="109"/>
      <c r="F72" s="109"/>
      <c r="G72" s="109"/>
      <c r="H72" s="109"/>
      <c r="I72" s="109"/>
      <c r="J72" s="121"/>
      <c r="S72" s="3">
        <v>1</v>
      </c>
    </row>
    <row r="73" spans="1:19" s="58" customFormat="1" ht="43.5" customHeight="1" x14ac:dyDescent="0.25">
      <c r="A73" s="122" t="s">
        <v>95</v>
      </c>
      <c r="B73" s="123"/>
      <c r="C73" s="124"/>
      <c r="D73" s="56" t="s">
        <v>96</v>
      </c>
      <c r="E73" s="19" t="s">
        <v>97</v>
      </c>
      <c r="F73" s="19" t="s">
        <v>98</v>
      </c>
      <c r="G73" s="128" t="s">
        <v>99</v>
      </c>
      <c r="H73" s="129"/>
      <c r="I73" s="56" t="s">
        <v>100</v>
      </c>
      <c r="J73" s="130"/>
      <c r="S73" s="3">
        <v>1</v>
      </c>
    </row>
    <row r="74" spans="1:19" s="58" customFormat="1" ht="24.95" customHeight="1" x14ac:dyDescent="0.25">
      <c r="A74" s="125"/>
      <c r="B74" s="126"/>
      <c r="C74" s="127"/>
      <c r="D74" s="65">
        <v>0</v>
      </c>
      <c r="E74" s="65">
        <v>0</v>
      </c>
      <c r="F74" s="65">
        <v>0</v>
      </c>
      <c r="G74" s="132">
        <v>0</v>
      </c>
      <c r="H74" s="133"/>
      <c r="I74" s="66">
        <f>SUM(D74:H74)</f>
        <v>0</v>
      </c>
      <c r="J74" s="130"/>
      <c r="S74" s="3">
        <v>1</v>
      </c>
    </row>
    <row r="75" spans="1:19" s="58" customFormat="1" ht="24" customHeight="1" x14ac:dyDescent="0.25">
      <c r="A75" s="134" t="s">
        <v>101</v>
      </c>
      <c r="B75" s="135"/>
      <c r="C75" s="136"/>
      <c r="D75" s="67" t="s">
        <v>102</v>
      </c>
      <c r="E75" s="67" t="s">
        <v>103</v>
      </c>
      <c r="F75" s="68"/>
      <c r="G75" s="140"/>
      <c r="H75" s="141"/>
      <c r="I75" s="68"/>
      <c r="J75" s="130"/>
      <c r="S75" s="3">
        <v>1</v>
      </c>
    </row>
    <row r="76" spans="1:19" s="58" customFormat="1" ht="24.95" customHeight="1" thickBot="1" x14ac:dyDescent="0.3">
      <c r="A76" s="137"/>
      <c r="B76" s="138"/>
      <c r="C76" s="139"/>
      <c r="D76" s="69">
        <v>0</v>
      </c>
      <c r="E76" s="69">
        <v>0</v>
      </c>
      <c r="F76" s="69"/>
      <c r="G76" s="142"/>
      <c r="H76" s="143"/>
      <c r="I76" s="70">
        <f>SUM(D76:H76)</f>
        <v>0</v>
      </c>
      <c r="J76" s="131"/>
      <c r="S76" s="3">
        <v>1</v>
      </c>
    </row>
    <row r="77" spans="1:19" ht="30" customHeight="1" thickBot="1" x14ac:dyDescent="0.3">
      <c r="A77" s="209" t="s">
        <v>104</v>
      </c>
      <c r="B77" s="210"/>
      <c r="C77" s="210"/>
      <c r="D77" s="210"/>
      <c r="E77" s="210"/>
      <c r="F77" s="210"/>
      <c r="G77" s="210"/>
      <c r="H77" s="210"/>
      <c r="I77" s="210"/>
      <c r="J77" s="211"/>
      <c r="S77" s="3">
        <v>1</v>
      </c>
    </row>
    <row r="78" spans="1:19" ht="152.25" customHeight="1" x14ac:dyDescent="0.25">
      <c r="A78" s="212"/>
      <c r="B78" s="213"/>
      <c r="C78" s="213"/>
      <c r="D78" s="214"/>
      <c r="E78" s="214"/>
      <c r="F78" s="214"/>
      <c r="G78" s="215"/>
      <c r="H78" s="213"/>
      <c r="I78" s="216"/>
      <c r="J78" s="217"/>
      <c r="S78" s="3">
        <v>1</v>
      </c>
    </row>
    <row r="79" spans="1:19" ht="24" customHeight="1" thickBot="1" x14ac:dyDescent="0.3">
      <c r="A79" s="114"/>
      <c r="B79" s="115"/>
      <c r="C79" s="115"/>
      <c r="D79" s="116"/>
      <c r="E79" s="218"/>
      <c r="F79" s="219"/>
      <c r="G79" s="218"/>
      <c r="H79" s="220"/>
      <c r="I79" s="221"/>
      <c r="J79" s="222"/>
      <c r="S79" s="3">
        <v>1</v>
      </c>
    </row>
  </sheetData>
  <mergeCells count="131">
    <mergeCell ref="A4:C4"/>
    <mergeCell ref="D4:E4"/>
    <mergeCell ref="F4:F5"/>
    <mergeCell ref="G4:J4"/>
    <mergeCell ref="A5:C5"/>
    <mergeCell ref="D5:E5"/>
    <mergeCell ref="G5:J5"/>
    <mergeCell ref="D1:H1"/>
    <mergeCell ref="I1:J1"/>
    <mergeCell ref="A2:C2"/>
    <mergeCell ref="D2:E2"/>
    <mergeCell ref="G2:H2"/>
    <mergeCell ref="A3:C3"/>
    <mergeCell ref="D3:E3"/>
    <mergeCell ref="G3:H3"/>
    <mergeCell ref="A9:C9"/>
    <mergeCell ref="D9:E9"/>
    <mergeCell ref="F9:G9"/>
    <mergeCell ref="H9:I9"/>
    <mergeCell ref="A10:C10"/>
    <mergeCell ref="D10:E10"/>
    <mergeCell ref="F10:G10"/>
    <mergeCell ref="H10:I10"/>
    <mergeCell ref="A6:C6"/>
    <mergeCell ref="D6:J6"/>
    <mergeCell ref="A7:J7"/>
    <mergeCell ref="A8:C8"/>
    <mergeCell ref="D8:E8"/>
    <mergeCell ref="F8:G8"/>
    <mergeCell ref="H8:I8"/>
    <mergeCell ref="A13:C13"/>
    <mergeCell ref="D13:E13"/>
    <mergeCell ref="F13:G13"/>
    <mergeCell ref="H13:I13"/>
    <mergeCell ref="A14:C14"/>
    <mergeCell ref="D14:E14"/>
    <mergeCell ref="F14:G14"/>
    <mergeCell ref="H14:I14"/>
    <mergeCell ref="A11:C11"/>
    <mergeCell ref="D11:E11"/>
    <mergeCell ref="F11:G11"/>
    <mergeCell ref="H11:I11"/>
    <mergeCell ref="A12:C12"/>
    <mergeCell ref="D12:E12"/>
    <mergeCell ref="F12:G12"/>
    <mergeCell ref="H12:I12"/>
    <mergeCell ref="H17:I17"/>
    <mergeCell ref="A18:J18"/>
    <mergeCell ref="A19:C19"/>
    <mergeCell ref="H19:J40"/>
    <mergeCell ref="B20:C20"/>
    <mergeCell ref="B21:C21"/>
    <mergeCell ref="B22:C22"/>
    <mergeCell ref="A15:C15"/>
    <mergeCell ref="D15:E15"/>
    <mergeCell ref="F15:G15"/>
    <mergeCell ref="H15:I15"/>
    <mergeCell ref="A16:C16"/>
    <mergeCell ref="D16:E16"/>
    <mergeCell ref="F16:G16"/>
    <mergeCell ref="H16:I16"/>
    <mergeCell ref="A23:E23"/>
    <mergeCell ref="B24:E24"/>
    <mergeCell ref="A37:E37"/>
    <mergeCell ref="B38:E38"/>
    <mergeCell ref="B39:E39"/>
    <mergeCell ref="B40:E40"/>
    <mergeCell ref="A17:C17"/>
    <mergeCell ref="D17:E17"/>
    <mergeCell ref="F17:G17"/>
    <mergeCell ref="B45:E45"/>
    <mergeCell ref="B46:E46"/>
    <mergeCell ref="B47:E47"/>
    <mergeCell ref="A48:E48"/>
    <mergeCell ref="G48:J48"/>
    <mergeCell ref="B49:E49"/>
    <mergeCell ref="A41:E41"/>
    <mergeCell ref="G41:J41"/>
    <mergeCell ref="B42:E42"/>
    <mergeCell ref="B43:E43"/>
    <mergeCell ref="A44:E44"/>
    <mergeCell ref="G44:J44"/>
    <mergeCell ref="B56:E56"/>
    <mergeCell ref="B57:E57"/>
    <mergeCell ref="B58:E58"/>
    <mergeCell ref="B59:E59"/>
    <mergeCell ref="B60:E60"/>
    <mergeCell ref="B61:E61"/>
    <mergeCell ref="B50:E50"/>
    <mergeCell ref="B51:E51"/>
    <mergeCell ref="B52:E52"/>
    <mergeCell ref="B53:E53"/>
    <mergeCell ref="B54:E54"/>
    <mergeCell ref="B55:E55"/>
    <mergeCell ref="A68:B68"/>
    <mergeCell ref="C68:D68"/>
    <mergeCell ref="F68:H68"/>
    <mergeCell ref="A69:B69"/>
    <mergeCell ref="C69:D69"/>
    <mergeCell ref="F69:H69"/>
    <mergeCell ref="B62:E62"/>
    <mergeCell ref="B63:E63"/>
    <mergeCell ref="B64:E64"/>
    <mergeCell ref="A65:E65"/>
    <mergeCell ref="A66:J66"/>
    <mergeCell ref="A67:D67"/>
    <mergeCell ref="E67:H67"/>
    <mergeCell ref="I67:J67"/>
    <mergeCell ref="A72:J72"/>
    <mergeCell ref="A73:C74"/>
    <mergeCell ref="G73:H73"/>
    <mergeCell ref="J73:J76"/>
    <mergeCell ref="G74:H74"/>
    <mergeCell ref="A75:C76"/>
    <mergeCell ref="G75:H75"/>
    <mergeCell ref="G76:H76"/>
    <mergeCell ref="A70:B70"/>
    <mergeCell ref="C70:D70"/>
    <mergeCell ref="F70:H70"/>
    <mergeCell ref="A71:B71"/>
    <mergeCell ref="C71:D71"/>
    <mergeCell ref="F71:H71"/>
    <mergeCell ref="A77:J77"/>
    <mergeCell ref="A78:D78"/>
    <mergeCell ref="E78:F78"/>
    <mergeCell ref="G78:H78"/>
    <mergeCell ref="I78:J78"/>
    <mergeCell ref="A79:D79"/>
    <mergeCell ref="E79:F79"/>
    <mergeCell ref="G79:H79"/>
    <mergeCell ref="I79:J79"/>
  </mergeCells>
  <dataValidations count="3">
    <dataValidation type="list" allowBlank="1" showInputMessage="1" showErrorMessage="1" sqref="I69:I71" xr:uid="{B76EE4B9-9E74-4826-9C94-2CD4E24641D6}">
      <formula1>"Abierta,Cerrada"</formula1>
    </dataValidation>
    <dataValidation type="list" allowBlank="1" showInputMessage="1" showErrorMessage="1" sqref="A69:B71" xr:uid="{C9896F99-D089-48E5-ACFE-C24A66FAC038}">
      <formula1>"AV,CI"</formula1>
    </dataValidation>
    <dataValidation type="list" allowBlank="1" showInputMessage="1" showErrorMessage="1" sqref="E69:E71" xr:uid="{9CED590C-3414-4757-8934-5FDF359925D9}">
      <formula1>"Correctiva,Preventiva, Mejora"</formula1>
    </dataValidation>
  </dataValidations>
  <printOptions horizontalCentered="1" verticalCentered="1"/>
  <pageMargins left="0.11811023622047245" right="0.19685039370078741" top="0.15748031496062992" bottom="0.15748031496062992" header="0.31496062992125984" footer="0.31496062992125984"/>
  <pageSetup paperSize="9" scale="60" fitToHeight="2" orientation="portrait" horizontalDpi="360" verticalDpi="360" r:id="rId1"/>
  <rowBreaks count="1" manualBreakCount="1">
    <brk id="40" max="9"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7A0A7961-4F15-477A-9EE1-C87B73477E9E}">
          <x14:formula1>
            <xm:f>Trabajadores!$B$2:$B$165</xm:f>
          </x14:formula1>
          <xm:sqref>A8 D8 F8 H8 J8 A9 D9 F9 H9 J9 A10 D10 F10 H10 J10 A11 D11 F11 H11 J11 A12 D12 F12 H12 J12 A13 D13 F13 H13 J13 A14 D14 F14 H14 J14 A15 D15 F15 H15 J15 A16 D16 F16 H16 J16 A17 D17 F17 H17 J17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868C6-2FF8-4A93-9BCA-8D8D47D1B1CF}">
  <sheetPr codeName="Hoja18"/>
  <dimension ref="A1:S79"/>
  <sheetViews>
    <sheetView showGridLines="0" zoomScaleNormal="100" zoomScaleSheetLayoutView="100" workbookViewId="0">
      <pane ySplit="1" topLeftCell="A65" activePane="bottomLeft" state="frozen"/>
      <selection pane="bottomLeft" activeCell="D75" sqref="D75:E75"/>
    </sheetView>
  </sheetViews>
  <sheetFormatPr baseColWidth="10" defaultColWidth="9.42578125" defaultRowHeight="15" x14ac:dyDescent="0.25"/>
  <cols>
    <col min="1" max="1" width="5.85546875" customWidth="1"/>
    <col min="2" max="2" width="11.140625" customWidth="1"/>
    <col min="3" max="3" width="9.42578125" customWidth="1"/>
    <col min="4" max="4" width="10.7109375" customWidth="1"/>
    <col min="5" max="5" width="18.140625" customWidth="1"/>
    <col min="6" max="6" width="15.28515625" customWidth="1"/>
    <col min="7" max="7" width="12.140625" customWidth="1"/>
    <col min="8" max="8" width="22.85546875" customWidth="1"/>
    <col min="9" max="9" width="12.7109375" customWidth="1"/>
    <col min="10" max="10" width="25.140625" customWidth="1"/>
    <col min="11" max="11" width="2.42578125" customWidth="1"/>
    <col min="19" max="19" width="9.42578125" style="3"/>
  </cols>
  <sheetData>
    <row r="1" spans="1:19" ht="63.6" customHeight="1" thickBot="1" x14ac:dyDescent="0.3">
      <c r="A1" s="81"/>
      <c r="B1" s="82"/>
      <c r="C1" s="82"/>
      <c r="D1" s="256" t="s">
        <v>189</v>
      </c>
      <c r="E1" s="256"/>
      <c r="F1" s="256"/>
      <c r="G1" s="256"/>
      <c r="H1" s="257"/>
      <c r="I1" s="258" t="s">
        <v>1</v>
      </c>
      <c r="J1" s="259"/>
    </row>
    <row r="2" spans="1:19" ht="28.35" customHeight="1" x14ac:dyDescent="0.25">
      <c r="A2" s="260" t="s">
        <v>190</v>
      </c>
      <c r="B2" s="261"/>
      <c r="C2" s="261"/>
      <c r="D2" s="262" t="s">
        <v>3</v>
      </c>
      <c r="E2" s="263"/>
      <c r="F2" s="83" t="s">
        <v>191</v>
      </c>
      <c r="G2" s="264">
        <v>45435</v>
      </c>
      <c r="H2" s="265"/>
      <c r="I2" s="84" t="s">
        <v>5</v>
      </c>
      <c r="J2" s="85">
        <v>0</v>
      </c>
      <c r="S2" s="3">
        <v>1</v>
      </c>
    </row>
    <row r="3" spans="1:19" ht="28.35" customHeight="1" x14ac:dyDescent="0.25">
      <c r="A3" s="246" t="s">
        <v>192</v>
      </c>
      <c r="B3" s="247"/>
      <c r="C3" s="247"/>
      <c r="D3" s="266" t="s">
        <v>211</v>
      </c>
      <c r="E3" s="267"/>
      <c r="F3" s="86" t="s">
        <v>193</v>
      </c>
      <c r="G3" s="268"/>
      <c r="H3" s="269"/>
      <c r="I3" s="86" t="s">
        <v>194</v>
      </c>
      <c r="J3" s="87"/>
      <c r="S3" s="3">
        <v>1</v>
      </c>
    </row>
    <row r="4" spans="1:19" ht="24.95" customHeight="1" x14ac:dyDescent="0.25">
      <c r="A4" s="246" t="s">
        <v>195</v>
      </c>
      <c r="B4" s="247"/>
      <c r="C4" s="247"/>
      <c r="D4" s="248" t="s">
        <v>9</v>
      </c>
      <c r="E4" s="248"/>
      <c r="F4" s="249" t="s">
        <v>196</v>
      </c>
      <c r="G4" s="251" t="s">
        <v>17</v>
      </c>
      <c r="H4" s="252"/>
      <c r="I4" s="252"/>
      <c r="J4" s="253"/>
      <c r="S4" s="3">
        <v>1</v>
      </c>
    </row>
    <row r="5" spans="1:19" ht="24.95" customHeight="1" x14ac:dyDescent="0.25">
      <c r="A5" s="246" t="s">
        <v>197</v>
      </c>
      <c r="B5" s="247"/>
      <c r="C5" s="247"/>
      <c r="D5" s="254" t="s">
        <v>212</v>
      </c>
      <c r="E5" s="255"/>
      <c r="F5" s="250"/>
      <c r="G5" s="251" t="s">
        <v>15</v>
      </c>
      <c r="H5" s="252"/>
      <c r="I5" s="252"/>
      <c r="J5" s="253"/>
      <c r="S5" s="3">
        <v>1</v>
      </c>
    </row>
    <row r="6" spans="1:19" ht="42.75" customHeight="1" thickBot="1" x14ac:dyDescent="0.3">
      <c r="A6" s="237" t="s">
        <v>198</v>
      </c>
      <c r="B6" s="238"/>
      <c r="C6" s="238"/>
      <c r="D6" s="239"/>
      <c r="E6" s="240"/>
      <c r="F6" s="240"/>
      <c r="G6" s="240"/>
      <c r="H6" s="240"/>
      <c r="I6" s="240"/>
      <c r="J6" s="241"/>
      <c r="S6" s="3">
        <v>1</v>
      </c>
    </row>
    <row r="7" spans="1:19" ht="26.25" customHeight="1" x14ac:dyDescent="0.25">
      <c r="A7" s="242" t="s">
        <v>199</v>
      </c>
      <c r="B7" s="243"/>
      <c r="C7" s="243"/>
      <c r="D7" s="244"/>
      <c r="E7" s="244"/>
      <c r="F7" s="244"/>
      <c r="G7" s="244"/>
      <c r="H7" s="244"/>
      <c r="I7" s="244"/>
      <c r="J7" s="245"/>
      <c r="S7" s="3">
        <v>1</v>
      </c>
    </row>
    <row r="8" spans="1:19" s="16" customFormat="1" ht="21" customHeight="1" x14ac:dyDescent="0.25">
      <c r="A8" s="230"/>
      <c r="B8" s="230"/>
      <c r="C8" s="230"/>
      <c r="D8" s="231"/>
      <c r="E8" s="231"/>
      <c r="F8" s="230"/>
      <c r="G8" s="230"/>
      <c r="H8" s="230"/>
      <c r="I8" s="230"/>
      <c r="J8" s="88"/>
      <c r="S8" s="3">
        <v>1</v>
      </c>
    </row>
    <row r="9" spans="1:19" s="16" customFormat="1" ht="21" customHeight="1" x14ac:dyDescent="0.25">
      <c r="A9" s="232"/>
      <c r="B9" s="233"/>
      <c r="C9" s="234"/>
      <c r="D9" s="235"/>
      <c r="E9" s="236"/>
      <c r="F9" s="232"/>
      <c r="G9" s="234"/>
      <c r="H9" s="232"/>
      <c r="I9" s="234"/>
      <c r="J9" s="88"/>
      <c r="S9" s="3">
        <v>1</v>
      </c>
    </row>
    <row r="10" spans="1:19" s="16" customFormat="1" ht="21" customHeight="1" x14ac:dyDescent="0.25">
      <c r="A10" s="232"/>
      <c r="B10" s="233"/>
      <c r="C10" s="234"/>
      <c r="D10" s="235"/>
      <c r="E10" s="236"/>
      <c r="F10" s="232"/>
      <c r="G10" s="234"/>
      <c r="H10" s="232"/>
      <c r="I10" s="234"/>
      <c r="J10" s="88"/>
      <c r="S10" s="3">
        <v>1</v>
      </c>
    </row>
    <row r="11" spans="1:19" s="16" customFormat="1" ht="21" customHeight="1" x14ac:dyDescent="0.25">
      <c r="A11" s="232"/>
      <c r="B11" s="233"/>
      <c r="C11" s="234"/>
      <c r="D11" s="235"/>
      <c r="E11" s="236"/>
      <c r="F11" s="232"/>
      <c r="G11" s="234"/>
      <c r="H11" s="232"/>
      <c r="I11" s="234"/>
      <c r="J11" s="88"/>
      <c r="S11" s="3">
        <v>1</v>
      </c>
    </row>
    <row r="12" spans="1:19" s="16" customFormat="1" ht="21" customHeight="1" x14ac:dyDescent="0.25">
      <c r="A12" s="230"/>
      <c r="B12" s="230"/>
      <c r="C12" s="230"/>
      <c r="D12" s="231"/>
      <c r="E12" s="231"/>
      <c r="F12" s="230"/>
      <c r="G12" s="230"/>
      <c r="H12" s="230"/>
      <c r="I12" s="230"/>
      <c r="J12" s="88"/>
      <c r="S12" s="3">
        <v>1</v>
      </c>
    </row>
    <row r="13" spans="1:19" s="16" customFormat="1" ht="21" customHeight="1" x14ac:dyDescent="0.25">
      <c r="A13" s="230"/>
      <c r="B13" s="230"/>
      <c r="C13" s="230"/>
      <c r="D13" s="231"/>
      <c r="E13" s="231"/>
      <c r="F13" s="230"/>
      <c r="G13" s="230"/>
      <c r="H13" s="230"/>
      <c r="I13" s="230"/>
      <c r="J13" s="88"/>
      <c r="S13" s="3">
        <v>1</v>
      </c>
    </row>
    <row r="14" spans="1:19" s="16" customFormat="1" ht="21" customHeight="1" x14ac:dyDescent="0.25">
      <c r="A14" s="230"/>
      <c r="B14" s="230"/>
      <c r="C14" s="230"/>
      <c r="D14" s="231"/>
      <c r="E14" s="231"/>
      <c r="F14" s="230"/>
      <c r="G14" s="230"/>
      <c r="H14" s="230"/>
      <c r="I14" s="230"/>
      <c r="J14" s="88"/>
      <c r="S14" s="3">
        <v>1</v>
      </c>
    </row>
    <row r="15" spans="1:19" s="16" customFormat="1" ht="21" customHeight="1" x14ac:dyDescent="0.25">
      <c r="A15" s="230"/>
      <c r="B15" s="230"/>
      <c r="C15" s="230"/>
      <c r="D15" s="231"/>
      <c r="E15" s="231"/>
      <c r="F15" s="230"/>
      <c r="G15" s="230"/>
      <c r="H15" s="230"/>
      <c r="I15" s="230"/>
      <c r="J15" s="88"/>
      <c r="S15" s="3">
        <v>1</v>
      </c>
    </row>
    <row r="16" spans="1:19" s="16" customFormat="1" ht="21" customHeight="1" x14ac:dyDescent="0.25">
      <c r="A16" s="230"/>
      <c r="B16" s="230"/>
      <c r="C16" s="230"/>
      <c r="D16" s="231"/>
      <c r="E16" s="231"/>
      <c r="F16" s="230"/>
      <c r="G16" s="230"/>
      <c r="H16" s="230"/>
      <c r="I16" s="230"/>
      <c r="J16" s="88"/>
      <c r="S16" s="3">
        <v>1</v>
      </c>
    </row>
    <row r="17" spans="1:19" s="16" customFormat="1" ht="21" customHeight="1" x14ac:dyDescent="0.25">
      <c r="A17" s="230"/>
      <c r="B17" s="230"/>
      <c r="C17" s="230"/>
      <c r="D17" s="231"/>
      <c r="E17" s="231"/>
      <c r="F17" s="230"/>
      <c r="G17" s="230"/>
      <c r="H17" s="230"/>
      <c r="I17" s="230"/>
      <c r="J17" s="88"/>
      <c r="S17" s="3">
        <v>1</v>
      </c>
    </row>
    <row r="18" spans="1:19" ht="27" customHeight="1" x14ac:dyDescent="0.25">
      <c r="A18" s="195" t="s">
        <v>18</v>
      </c>
      <c r="B18" s="196"/>
      <c r="C18" s="196"/>
      <c r="D18" s="197"/>
      <c r="E18" s="197"/>
      <c r="F18" s="197"/>
      <c r="G18" s="197"/>
      <c r="H18" s="197"/>
      <c r="I18" s="197"/>
      <c r="J18" s="198"/>
      <c r="S18" s="3">
        <v>1</v>
      </c>
    </row>
    <row r="19" spans="1:19" s="16" customFormat="1" ht="30.75" customHeight="1" x14ac:dyDescent="0.25">
      <c r="A19" s="172" t="s">
        <v>19</v>
      </c>
      <c r="B19" s="173"/>
      <c r="C19" s="174"/>
      <c r="D19" s="13" t="s">
        <v>20</v>
      </c>
      <c r="E19" s="13" t="s">
        <v>5</v>
      </c>
      <c r="F19" s="14" t="s">
        <v>21</v>
      </c>
      <c r="G19" s="15"/>
      <c r="H19" s="175"/>
      <c r="I19" s="175"/>
      <c r="J19" s="176"/>
      <c r="S19" s="3">
        <v>1</v>
      </c>
    </row>
    <row r="20" spans="1:19" s="16" customFormat="1" ht="30.6" customHeight="1" x14ac:dyDescent="0.25">
      <c r="A20" s="89" t="s">
        <v>22</v>
      </c>
      <c r="B20" s="179" t="s">
        <v>23</v>
      </c>
      <c r="C20" s="180"/>
      <c r="D20" s="90">
        <v>0</v>
      </c>
      <c r="E20" s="91">
        <v>0</v>
      </c>
      <c r="F20" s="92">
        <f>+(D20/60)*E20</f>
        <v>0</v>
      </c>
      <c r="G20" s="21"/>
      <c r="H20" s="177"/>
      <c r="I20" s="177"/>
      <c r="J20" s="178"/>
      <c r="S20" s="3">
        <v>1</v>
      </c>
    </row>
    <row r="21" spans="1:19" s="16" customFormat="1" ht="36.75" customHeight="1" x14ac:dyDescent="0.25">
      <c r="A21" s="89" t="s">
        <v>24</v>
      </c>
      <c r="B21" s="179" t="s">
        <v>25</v>
      </c>
      <c r="C21" s="180"/>
      <c r="D21" s="90">
        <v>0</v>
      </c>
      <c r="E21" s="91">
        <v>0</v>
      </c>
      <c r="F21" s="20">
        <f>(D21/60)*E21</f>
        <v>0</v>
      </c>
      <c r="G21" s="21"/>
      <c r="H21" s="177"/>
      <c r="I21" s="177"/>
      <c r="J21" s="178"/>
      <c r="S21" s="3">
        <v>1</v>
      </c>
    </row>
    <row r="22" spans="1:19" s="16" customFormat="1" ht="36.75" customHeight="1" x14ac:dyDescent="0.25">
      <c r="A22" s="89" t="s">
        <v>26</v>
      </c>
      <c r="B22" s="179" t="s">
        <v>27</v>
      </c>
      <c r="C22" s="180"/>
      <c r="D22" s="18">
        <v>0</v>
      </c>
      <c r="E22" s="19">
        <v>0</v>
      </c>
      <c r="F22" s="20">
        <f>(D22/60)*E22</f>
        <v>0</v>
      </c>
      <c r="G22" s="21"/>
      <c r="H22" s="177"/>
      <c r="I22" s="177"/>
      <c r="J22" s="178"/>
      <c r="S22" s="3">
        <v>1</v>
      </c>
    </row>
    <row r="23" spans="1:19" s="16" customFormat="1" ht="30" customHeight="1" x14ac:dyDescent="0.25">
      <c r="A23" s="172" t="s">
        <v>28</v>
      </c>
      <c r="B23" s="173"/>
      <c r="C23" s="173"/>
      <c r="D23" s="173"/>
      <c r="E23" s="181"/>
      <c r="F23" s="14" t="s">
        <v>29</v>
      </c>
      <c r="G23" s="22"/>
      <c r="H23" s="177"/>
      <c r="I23" s="177"/>
      <c r="J23" s="178"/>
      <c r="S23" s="3">
        <v>1</v>
      </c>
    </row>
    <row r="24" spans="1:19" s="16" customFormat="1" ht="20.100000000000001" customHeight="1" x14ac:dyDescent="0.25">
      <c r="A24" s="17">
        <v>2.1</v>
      </c>
      <c r="B24" s="153" t="s">
        <v>30</v>
      </c>
      <c r="C24" s="153"/>
      <c r="D24" s="153"/>
      <c r="E24" s="163"/>
      <c r="F24" s="93">
        <v>0</v>
      </c>
      <c r="G24" s="24"/>
      <c r="H24" s="177"/>
      <c r="I24" s="177"/>
      <c r="J24" s="178"/>
      <c r="S24" s="3">
        <v>1</v>
      </c>
    </row>
    <row r="25" spans="1:19" s="16" customFormat="1" ht="20.100000000000001" customHeight="1" x14ac:dyDescent="0.25">
      <c r="A25" s="17">
        <v>2.2000000000000002</v>
      </c>
      <c r="B25" s="25" t="s">
        <v>31</v>
      </c>
      <c r="C25" s="25"/>
      <c r="D25" s="25"/>
      <c r="E25" s="26"/>
      <c r="F25" s="93">
        <v>0</v>
      </c>
      <c r="G25" s="24"/>
      <c r="H25" s="177"/>
      <c r="I25" s="177"/>
      <c r="J25" s="178"/>
      <c r="S25" s="3">
        <v>1</v>
      </c>
    </row>
    <row r="26" spans="1:19" s="16" customFormat="1" ht="20.100000000000001" customHeight="1" x14ac:dyDescent="0.25">
      <c r="A26" s="17">
        <v>2.2999999999999998</v>
      </c>
      <c r="B26" s="25" t="s">
        <v>32</v>
      </c>
      <c r="C26" s="25"/>
      <c r="D26" s="25"/>
      <c r="E26" s="26"/>
      <c r="F26" s="94">
        <v>0</v>
      </c>
      <c r="G26" s="24"/>
      <c r="H26" s="177"/>
      <c r="I26" s="177"/>
      <c r="J26" s="178"/>
      <c r="S26" s="3">
        <v>1</v>
      </c>
    </row>
    <row r="27" spans="1:19" s="16" customFormat="1" ht="20.100000000000001" customHeight="1" x14ac:dyDescent="0.25">
      <c r="A27" s="17">
        <v>2.4</v>
      </c>
      <c r="B27" s="25" t="s">
        <v>33</v>
      </c>
      <c r="C27" s="25"/>
      <c r="D27" s="25"/>
      <c r="E27" s="26"/>
      <c r="F27" s="94">
        <v>0</v>
      </c>
      <c r="G27" s="24"/>
      <c r="H27" s="177"/>
      <c r="I27" s="177"/>
      <c r="J27" s="178"/>
      <c r="S27" s="3">
        <v>1</v>
      </c>
    </row>
    <row r="28" spans="1:19" s="16" customFormat="1" ht="20.100000000000001" customHeight="1" x14ac:dyDescent="0.25">
      <c r="A28" s="17">
        <v>2.5</v>
      </c>
      <c r="B28" s="25" t="s">
        <v>34</v>
      </c>
      <c r="C28" s="25"/>
      <c r="D28" s="25"/>
      <c r="E28" s="26"/>
      <c r="F28" s="94">
        <v>0</v>
      </c>
      <c r="G28" s="24"/>
      <c r="H28" s="177"/>
      <c r="I28" s="177"/>
      <c r="J28" s="178"/>
      <c r="S28" s="3">
        <v>1</v>
      </c>
    </row>
    <row r="29" spans="1:19" s="16" customFormat="1" ht="20.100000000000001" customHeight="1" x14ac:dyDescent="0.25">
      <c r="A29" s="17">
        <v>2.6</v>
      </c>
      <c r="B29" s="25" t="s">
        <v>35</v>
      </c>
      <c r="C29" s="25"/>
      <c r="D29" s="25"/>
      <c r="E29" s="26"/>
      <c r="F29" s="94">
        <v>0</v>
      </c>
      <c r="G29" s="24"/>
      <c r="H29" s="177"/>
      <c r="I29" s="177"/>
      <c r="J29" s="178"/>
      <c r="S29" s="3">
        <v>1</v>
      </c>
    </row>
    <row r="30" spans="1:19" s="16" customFormat="1" ht="20.100000000000001" customHeight="1" x14ac:dyDescent="0.25">
      <c r="A30" s="17">
        <v>2.7</v>
      </c>
      <c r="B30" s="25" t="s">
        <v>36</v>
      </c>
      <c r="C30" s="25"/>
      <c r="D30" s="25"/>
      <c r="E30" s="26"/>
      <c r="F30" s="94">
        <v>0</v>
      </c>
      <c r="G30" s="24"/>
      <c r="H30" s="177"/>
      <c r="I30" s="177"/>
      <c r="J30" s="178"/>
      <c r="S30" s="3">
        <v>1</v>
      </c>
    </row>
    <row r="31" spans="1:19" s="16" customFormat="1" ht="20.100000000000001" customHeight="1" x14ac:dyDescent="0.25">
      <c r="A31" s="17">
        <v>2.8</v>
      </c>
      <c r="B31" s="25" t="s">
        <v>37</v>
      </c>
      <c r="C31" s="25"/>
      <c r="D31" s="25"/>
      <c r="E31" s="26"/>
      <c r="F31" s="94">
        <v>0</v>
      </c>
      <c r="G31" s="24"/>
      <c r="H31" s="177"/>
      <c r="I31" s="177"/>
      <c r="J31" s="178"/>
      <c r="S31" s="3">
        <v>1</v>
      </c>
    </row>
    <row r="32" spans="1:19" s="16" customFormat="1" ht="20.100000000000001" customHeight="1" x14ac:dyDescent="0.25">
      <c r="A32" s="17">
        <v>2.9</v>
      </c>
      <c r="B32" s="25" t="s">
        <v>38</v>
      </c>
      <c r="C32" s="25"/>
      <c r="D32" s="25"/>
      <c r="E32" s="26"/>
      <c r="F32" s="94">
        <v>0</v>
      </c>
      <c r="G32" s="24"/>
      <c r="H32" s="177"/>
      <c r="I32" s="177"/>
      <c r="J32" s="178"/>
      <c r="S32" s="3">
        <v>1</v>
      </c>
    </row>
    <row r="33" spans="1:19" s="16" customFormat="1" ht="20.100000000000001" customHeight="1" x14ac:dyDescent="0.25">
      <c r="A33" s="28" t="s">
        <v>39</v>
      </c>
      <c r="B33" s="25" t="s">
        <v>40</v>
      </c>
      <c r="C33" s="25"/>
      <c r="D33" s="25"/>
      <c r="E33" s="26"/>
      <c r="F33" s="94">
        <v>0</v>
      </c>
      <c r="G33" s="24"/>
      <c r="H33" s="177"/>
      <c r="I33" s="177"/>
      <c r="J33" s="178"/>
      <c r="S33" s="3">
        <v>1</v>
      </c>
    </row>
    <row r="34" spans="1:19" s="16" customFormat="1" ht="20.100000000000001" customHeight="1" x14ac:dyDescent="0.25">
      <c r="A34" s="17">
        <v>2.11</v>
      </c>
      <c r="B34" s="25" t="s">
        <v>41</v>
      </c>
      <c r="C34" s="25"/>
      <c r="D34" s="25"/>
      <c r="E34" s="26"/>
      <c r="F34" s="94">
        <v>0</v>
      </c>
      <c r="G34" s="24"/>
      <c r="H34" s="177"/>
      <c r="I34" s="177"/>
      <c r="J34" s="178"/>
      <c r="S34" s="3">
        <v>1</v>
      </c>
    </row>
    <row r="35" spans="1:19" s="16" customFormat="1" ht="20.100000000000001" customHeight="1" x14ac:dyDescent="0.25">
      <c r="A35" s="17">
        <v>2.12</v>
      </c>
      <c r="B35" s="25" t="s">
        <v>42</v>
      </c>
      <c r="C35" s="25"/>
      <c r="D35" s="25"/>
      <c r="E35" s="26"/>
      <c r="F35" s="94">
        <v>0</v>
      </c>
      <c r="G35" s="24"/>
      <c r="H35" s="177"/>
      <c r="I35" s="177"/>
      <c r="J35" s="178"/>
      <c r="S35" s="3">
        <v>1</v>
      </c>
    </row>
    <row r="36" spans="1:19" s="16" customFormat="1" ht="20.100000000000001" customHeight="1" x14ac:dyDescent="0.25">
      <c r="A36" s="17">
        <v>2.13</v>
      </c>
      <c r="B36" s="25" t="s">
        <v>43</v>
      </c>
      <c r="C36" s="25"/>
      <c r="D36" s="25"/>
      <c r="E36" s="26"/>
      <c r="F36" s="94">
        <v>0</v>
      </c>
      <c r="G36" s="24"/>
      <c r="H36" s="177"/>
      <c r="I36" s="177"/>
      <c r="J36" s="178"/>
      <c r="S36" s="3">
        <v>1</v>
      </c>
    </row>
    <row r="37" spans="1:19" s="16" customFormat="1" ht="25.5" customHeight="1" x14ac:dyDescent="0.25">
      <c r="A37" s="225" t="s">
        <v>44</v>
      </c>
      <c r="B37" s="226"/>
      <c r="C37" s="226"/>
      <c r="D37" s="226"/>
      <c r="E37" s="227"/>
      <c r="F37" s="29">
        <f>SUM(F24:F36)</f>
        <v>0</v>
      </c>
      <c r="G37" s="30"/>
      <c r="H37" s="177"/>
      <c r="I37" s="177"/>
      <c r="J37" s="178"/>
      <c r="S37" s="3">
        <v>1</v>
      </c>
    </row>
    <row r="38" spans="1:19" s="16" customFormat="1" ht="24.75" customHeight="1" x14ac:dyDescent="0.25">
      <c r="A38" s="95" t="s">
        <v>45</v>
      </c>
      <c r="B38" s="228" t="s">
        <v>46</v>
      </c>
      <c r="C38" s="228"/>
      <c r="D38" s="228"/>
      <c r="E38" s="228"/>
      <c r="F38" s="96">
        <v>0</v>
      </c>
      <c r="G38" s="22"/>
      <c r="H38" s="177"/>
      <c r="I38" s="177"/>
      <c r="J38" s="178"/>
      <c r="S38" s="3">
        <v>1</v>
      </c>
    </row>
    <row r="39" spans="1:19" s="16" customFormat="1" ht="25.5" customHeight="1" x14ac:dyDescent="0.25">
      <c r="A39" s="97" t="s">
        <v>47</v>
      </c>
      <c r="B39" s="229" t="s">
        <v>48</v>
      </c>
      <c r="C39" s="229"/>
      <c r="D39" s="229"/>
      <c r="E39" s="229"/>
      <c r="F39" s="98">
        <v>0</v>
      </c>
      <c r="G39" s="33"/>
      <c r="H39" s="177"/>
      <c r="I39" s="177"/>
      <c r="J39" s="178"/>
      <c r="S39" s="3">
        <v>1</v>
      </c>
    </row>
    <row r="40" spans="1:19" s="16" customFormat="1" ht="30.75" customHeight="1" thickBot="1" x14ac:dyDescent="0.3">
      <c r="A40" s="97" t="s">
        <v>49</v>
      </c>
      <c r="B40" s="229" t="s">
        <v>50</v>
      </c>
      <c r="C40" s="229"/>
      <c r="D40" s="229"/>
      <c r="E40" s="229"/>
      <c r="F40" s="98">
        <v>0</v>
      </c>
      <c r="G40" s="22"/>
      <c r="H40" s="177"/>
      <c r="I40" s="177"/>
      <c r="J40" s="178"/>
      <c r="S40" s="3">
        <v>1</v>
      </c>
    </row>
    <row r="41" spans="1:19" ht="35.25" customHeight="1" x14ac:dyDescent="0.25">
      <c r="A41" s="170" t="s">
        <v>51</v>
      </c>
      <c r="B41" s="171"/>
      <c r="C41" s="171"/>
      <c r="D41" s="171"/>
      <c r="E41" s="171"/>
      <c r="F41" s="99" t="s">
        <v>52</v>
      </c>
      <c r="G41" s="167"/>
      <c r="H41" s="167"/>
      <c r="I41" s="167"/>
      <c r="J41" s="168"/>
      <c r="L41" s="16"/>
      <c r="M41" s="16"/>
      <c r="N41" s="16"/>
      <c r="S41" s="3">
        <v>1</v>
      </c>
    </row>
    <row r="42" spans="1:19" ht="36.75" customHeight="1" x14ac:dyDescent="0.25">
      <c r="A42" s="100" t="s">
        <v>200</v>
      </c>
      <c r="B42" s="223" t="s">
        <v>201</v>
      </c>
      <c r="C42" s="223"/>
      <c r="D42" s="223"/>
      <c r="E42" s="223"/>
      <c r="F42" s="101">
        <v>0</v>
      </c>
      <c r="G42" s="37"/>
      <c r="H42" s="38"/>
      <c r="I42" s="38"/>
      <c r="J42" s="39"/>
      <c r="K42" s="40"/>
      <c r="L42" s="16"/>
      <c r="M42" s="16"/>
      <c r="N42" s="16"/>
      <c r="S42" s="3">
        <v>1</v>
      </c>
    </row>
    <row r="43" spans="1:19" ht="36.75" customHeight="1" thickBot="1" x14ac:dyDescent="0.3">
      <c r="A43" s="102" t="s">
        <v>202</v>
      </c>
      <c r="B43" s="224" t="s">
        <v>54</v>
      </c>
      <c r="C43" s="224"/>
      <c r="D43" s="224"/>
      <c r="E43" s="224"/>
      <c r="F43" s="103">
        <v>0</v>
      </c>
      <c r="G43" s="43"/>
      <c r="H43" s="44"/>
      <c r="I43" s="44"/>
      <c r="J43" s="45"/>
      <c r="K43" s="40"/>
      <c r="L43" s="16"/>
      <c r="M43" s="16"/>
      <c r="N43" s="16"/>
      <c r="S43" s="3">
        <v>1</v>
      </c>
    </row>
    <row r="44" spans="1:19" ht="37.5" customHeight="1" x14ac:dyDescent="0.25">
      <c r="A44" s="170" t="s">
        <v>55</v>
      </c>
      <c r="B44" s="171"/>
      <c r="C44" s="171"/>
      <c r="D44" s="171"/>
      <c r="E44" s="171"/>
      <c r="F44" s="104" t="s">
        <v>56</v>
      </c>
      <c r="G44" s="167"/>
      <c r="H44" s="167"/>
      <c r="I44" s="167"/>
      <c r="J44" s="168"/>
      <c r="K44" s="40"/>
      <c r="L44" s="16"/>
      <c r="M44" s="16"/>
      <c r="N44" s="16"/>
      <c r="S44" s="3">
        <v>1</v>
      </c>
    </row>
    <row r="45" spans="1:19" ht="28.5" customHeight="1" x14ac:dyDescent="0.25">
      <c r="A45" s="105" t="s">
        <v>203</v>
      </c>
      <c r="B45" s="223" t="s">
        <v>57</v>
      </c>
      <c r="C45" s="223"/>
      <c r="D45" s="223"/>
      <c r="E45" s="223"/>
      <c r="F45" s="106">
        <v>0</v>
      </c>
      <c r="G45" s="47"/>
      <c r="H45" s="48"/>
      <c r="I45" s="48"/>
      <c r="J45" s="49"/>
      <c r="K45" s="40"/>
      <c r="L45" s="16"/>
      <c r="M45" s="16"/>
      <c r="N45" s="16"/>
      <c r="S45" s="3">
        <v>1</v>
      </c>
    </row>
    <row r="46" spans="1:19" ht="30.75" customHeight="1" x14ac:dyDescent="0.25">
      <c r="A46" s="105" t="s">
        <v>204</v>
      </c>
      <c r="B46" s="224" t="s">
        <v>58</v>
      </c>
      <c r="C46" s="224"/>
      <c r="D46" s="224"/>
      <c r="E46" s="224"/>
      <c r="F46" s="106">
        <v>0</v>
      </c>
      <c r="G46" s="47"/>
      <c r="H46" s="48"/>
      <c r="I46" s="48"/>
      <c r="J46" s="49"/>
      <c r="K46" s="40"/>
      <c r="L46" s="16"/>
      <c r="M46" s="16"/>
      <c r="N46" s="16"/>
      <c r="S46" s="3">
        <v>1</v>
      </c>
    </row>
    <row r="47" spans="1:19" ht="30.75" customHeight="1" thickBot="1" x14ac:dyDescent="0.3">
      <c r="A47" s="105" t="s">
        <v>205</v>
      </c>
      <c r="B47" s="224" t="s">
        <v>59</v>
      </c>
      <c r="C47" s="224"/>
      <c r="D47" s="224"/>
      <c r="E47" s="224"/>
      <c r="F47" s="106">
        <v>0</v>
      </c>
      <c r="G47" s="50"/>
      <c r="H47" s="44"/>
      <c r="I47" s="44"/>
      <c r="J47" s="45"/>
      <c r="K47" s="40"/>
      <c r="L47" s="16"/>
      <c r="M47" s="16"/>
      <c r="N47" s="16"/>
      <c r="S47" s="3">
        <v>1</v>
      </c>
    </row>
    <row r="48" spans="1:19" ht="31.5" customHeight="1" x14ac:dyDescent="0.25">
      <c r="A48" s="170" t="s">
        <v>60</v>
      </c>
      <c r="B48" s="171"/>
      <c r="C48" s="171"/>
      <c r="D48" s="171"/>
      <c r="E48" s="171"/>
      <c r="F48" s="104" t="s">
        <v>52</v>
      </c>
      <c r="G48" s="167"/>
      <c r="H48" s="167"/>
      <c r="I48" s="167"/>
      <c r="J48" s="168"/>
      <c r="K48" s="40"/>
      <c r="L48" s="16"/>
      <c r="M48" s="16"/>
      <c r="N48" s="16"/>
      <c r="S48" s="3">
        <v>1</v>
      </c>
    </row>
    <row r="49" spans="1:19" ht="20.100000000000001" customHeight="1" x14ac:dyDescent="0.25">
      <c r="A49" s="17">
        <v>5.0999999999999996</v>
      </c>
      <c r="B49" s="153" t="s">
        <v>61</v>
      </c>
      <c r="C49" s="153"/>
      <c r="D49" s="153"/>
      <c r="E49" s="163"/>
      <c r="F49" s="107">
        <v>0</v>
      </c>
      <c r="G49" s="33"/>
      <c r="H49" s="48"/>
      <c r="I49" s="48"/>
      <c r="J49" s="49"/>
      <c r="K49" s="40"/>
      <c r="S49" s="3">
        <v>1</v>
      </c>
    </row>
    <row r="50" spans="1:19" ht="20.100000000000001" customHeight="1" x14ac:dyDescent="0.25">
      <c r="A50" s="17">
        <v>5.2</v>
      </c>
      <c r="B50" s="153" t="s">
        <v>62</v>
      </c>
      <c r="C50" s="153"/>
      <c r="D50" s="153"/>
      <c r="E50" s="163"/>
      <c r="F50" s="107">
        <v>0</v>
      </c>
      <c r="G50" s="33"/>
      <c r="H50" s="48"/>
      <c r="I50" s="48"/>
      <c r="J50" s="49"/>
      <c r="K50" s="40"/>
      <c r="S50" s="3">
        <v>1</v>
      </c>
    </row>
    <row r="51" spans="1:19" ht="20.100000000000001" customHeight="1" x14ac:dyDescent="0.25">
      <c r="A51" s="17">
        <v>5.3</v>
      </c>
      <c r="B51" s="153" t="s">
        <v>63</v>
      </c>
      <c r="C51" s="153"/>
      <c r="D51" s="153"/>
      <c r="E51" s="163"/>
      <c r="F51" s="107">
        <v>0</v>
      </c>
      <c r="G51" s="33"/>
      <c r="H51" s="48"/>
      <c r="I51" s="48"/>
      <c r="J51" s="49"/>
      <c r="K51" s="40"/>
      <c r="S51" s="3">
        <v>1</v>
      </c>
    </row>
    <row r="52" spans="1:19" ht="20.100000000000001" customHeight="1" x14ac:dyDescent="0.25">
      <c r="A52" s="17">
        <v>5.4</v>
      </c>
      <c r="B52" s="153" t="s">
        <v>64</v>
      </c>
      <c r="C52" s="153"/>
      <c r="D52" s="153"/>
      <c r="E52" s="163"/>
      <c r="F52" s="107">
        <v>0</v>
      </c>
      <c r="G52" s="33"/>
      <c r="H52" s="48"/>
      <c r="I52" s="48"/>
      <c r="J52" s="49"/>
      <c r="K52" s="40"/>
      <c r="S52" s="3">
        <v>1</v>
      </c>
    </row>
    <row r="53" spans="1:19" ht="20.100000000000001" customHeight="1" x14ac:dyDescent="0.25">
      <c r="A53" s="17">
        <v>5.5</v>
      </c>
      <c r="B53" s="153" t="s">
        <v>65</v>
      </c>
      <c r="C53" s="153"/>
      <c r="D53" s="153"/>
      <c r="E53" s="163"/>
      <c r="F53" s="107">
        <v>0</v>
      </c>
      <c r="G53" s="33"/>
      <c r="H53" s="48"/>
      <c r="I53" s="48"/>
      <c r="J53" s="49"/>
      <c r="K53" s="40"/>
      <c r="S53" s="3">
        <v>1</v>
      </c>
    </row>
    <row r="54" spans="1:19" ht="20.100000000000001" customHeight="1" x14ac:dyDescent="0.25">
      <c r="A54" s="17">
        <v>5.6</v>
      </c>
      <c r="B54" s="153" t="s">
        <v>66</v>
      </c>
      <c r="C54" s="153"/>
      <c r="D54" s="153"/>
      <c r="E54" s="163"/>
      <c r="F54" s="107">
        <v>0</v>
      </c>
      <c r="G54" s="33"/>
      <c r="H54" s="48"/>
      <c r="I54" s="48"/>
      <c r="J54" s="49"/>
      <c r="K54" s="40"/>
      <c r="S54" s="3">
        <v>1</v>
      </c>
    </row>
    <row r="55" spans="1:19" ht="20.100000000000001" customHeight="1" x14ac:dyDescent="0.25">
      <c r="A55" s="17">
        <v>5.7</v>
      </c>
      <c r="B55" s="153" t="s">
        <v>67</v>
      </c>
      <c r="C55" s="153"/>
      <c r="D55" s="153"/>
      <c r="E55" s="163"/>
      <c r="F55" s="107">
        <v>0</v>
      </c>
      <c r="G55" s="33"/>
      <c r="H55" s="48"/>
      <c r="I55" s="48"/>
      <c r="J55" s="49"/>
      <c r="K55" s="40"/>
      <c r="S55" s="3">
        <v>1</v>
      </c>
    </row>
    <row r="56" spans="1:19" ht="20.100000000000001" customHeight="1" x14ac:dyDescent="0.25">
      <c r="A56" s="17">
        <v>5.8</v>
      </c>
      <c r="B56" s="153" t="s">
        <v>68</v>
      </c>
      <c r="C56" s="153"/>
      <c r="D56" s="153"/>
      <c r="E56" s="163"/>
      <c r="F56" s="107">
        <v>0</v>
      </c>
      <c r="G56" s="33"/>
      <c r="H56" s="48"/>
      <c r="I56" s="48"/>
      <c r="J56" s="49"/>
      <c r="K56" s="40"/>
      <c r="S56" s="3">
        <v>1</v>
      </c>
    </row>
    <row r="57" spans="1:19" ht="20.100000000000001" customHeight="1" x14ac:dyDescent="0.25">
      <c r="A57" s="17">
        <v>5.9</v>
      </c>
      <c r="B57" s="153" t="s">
        <v>69</v>
      </c>
      <c r="C57" s="153"/>
      <c r="D57" s="153"/>
      <c r="E57" s="163"/>
      <c r="F57" s="107">
        <v>0</v>
      </c>
      <c r="G57" s="33"/>
      <c r="H57" s="48"/>
      <c r="I57" s="48"/>
      <c r="J57" s="49"/>
      <c r="K57" s="40"/>
      <c r="S57" s="3">
        <v>1</v>
      </c>
    </row>
    <row r="58" spans="1:19" ht="20.100000000000001" customHeight="1" x14ac:dyDescent="0.25">
      <c r="A58" s="17" t="s">
        <v>70</v>
      </c>
      <c r="B58" s="153" t="s">
        <v>71</v>
      </c>
      <c r="C58" s="153"/>
      <c r="D58" s="153"/>
      <c r="E58" s="163"/>
      <c r="F58" s="107">
        <v>0</v>
      </c>
      <c r="G58" s="33"/>
      <c r="H58" s="48"/>
      <c r="I58" s="48"/>
      <c r="J58" s="49"/>
      <c r="K58" s="40"/>
      <c r="S58" s="3">
        <v>1</v>
      </c>
    </row>
    <row r="59" spans="1:19" ht="20.100000000000001" customHeight="1" x14ac:dyDescent="0.25">
      <c r="A59" s="17" t="s">
        <v>72</v>
      </c>
      <c r="B59" s="153" t="s">
        <v>73</v>
      </c>
      <c r="C59" s="153"/>
      <c r="D59" s="153"/>
      <c r="E59" s="163"/>
      <c r="F59" s="107">
        <v>0</v>
      </c>
      <c r="G59" s="33"/>
      <c r="H59" s="48"/>
      <c r="I59" s="48"/>
      <c r="J59" s="49"/>
      <c r="K59" s="40"/>
      <c r="S59" s="3">
        <v>1</v>
      </c>
    </row>
    <row r="60" spans="1:19" ht="20.100000000000001" customHeight="1" x14ac:dyDescent="0.25">
      <c r="A60" s="17" t="s">
        <v>74</v>
      </c>
      <c r="B60" s="153" t="s">
        <v>75</v>
      </c>
      <c r="C60" s="153"/>
      <c r="D60" s="153"/>
      <c r="E60" s="153"/>
      <c r="F60" s="36">
        <f>SUM(F61:F63)</f>
        <v>0</v>
      </c>
      <c r="G60" s="33"/>
      <c r="H60" s="48"/>
      <c r="I60" s="48"/>
      <c r="J60" s="49"/>
      <c r="K60" s="40"/>
      <c r="S60" s="3">
        <v>1</v>
      </c>
    </row>
    <row r="61" spans="1:19" ht="20.100000000000001" customHeight="1" x14ac:dyDescent="0.25">
      <c r="A61" s="17" t="s">
        <v>76</v>
      </c>
      <c r="B61" s="153" t="s">
        <v>77</v>
      </c>
      <c r="C61" s="153"/>
      <c r="D61" s="153"/>
      <c r="E61" s="153"/>
      <c r="F61" s="107">
        <v>0</v>
      </c>
      <c r="G61" s="33"/>
      <c r="H61" s="48"/>
      <c r="I61" s="48"/>
      <c r="J61" s="49"/>
      <c r="K61" s="40"/>
      <c r="S61" s="3">
        <v>1</v>
      </c>
    </row>
    <row r="62" spans="1:19" ht="20.100000000000001" customHeight="1" x14ac:dyDescent="0.25">
      <c r="A62" s="17" t="s">
        <v>78</v>
      </c>
      <c r="B62" s="153" t="s">
        <v>79</v>
      </c>
      <c r="C62" s="153"/>
      <c r="D62" s="153"/>
      <c r="E62" s="153"/>
      <c r="F62" s="107">
        <v>0</v>
      </c>
      <c r="G62" s="33"/>
      <c r="H62" s="48"/>
      <c r="I62" s="48"/>
      <c r="J62" s="49"/>
      <c r="K62" s="40"/>
      <c r="S62" s="3">
        <v>1</v>
      </c>
    </row>
    <row r="63" spans="1:19" ht="20.100000000000001" customHeight="1" x14ac:dyDescent="0.25">
      <c r="A63" s="17" t="s">
        <v>80</v>
      </c>
      <c r="B63" s="153" t="s">
        <v>81</v>
      </c>
      <c r="C63" s="153"/>
      <c r="D63" s="153"/>
      <c r="E63" s="153"/>
      <c r="F63" s="107">
        <v>0</v>
      </c>
      <c r="G63" s="33"/>
      <c r="H63" s="48"/>
      <c r="I63" s="48"/>
      <c r="J63" s="49"/>
      <c r="K63" s="40"/>
      <c r="S63" s="3">
        <v>1</v>
      </c>
    </row>
    <row r="64" spans="1:19" ht="20.100000000000001" customHeight="1" x14ac:dyDescent="0.25">
      <c r="A64" s="17">
        <v>5.13</v>
      </c>
      <c r="B64" s="153" t="s">
        <v>82</v>
      </c>
      <c r="C64" s="153"/>
      <c r="D64" s="153"/>
      <c r="E64" s="153"/>
      <c r="F64" s="107">
        <v>0</v>
      </c>
      <c r="G64" s="33"/>
      <c r="H64" s="48"/>
      <c r="I64" s="48"/>
      <c r="J64" s="49"/>
      <c r="K64" s="40"/>
      <c r="S64" s="3">
        <v>1</v>
      </c>
    </row>
    <row r="65" spans="1:19" ht="25.5" customHeight="1" thickBot="1" x14ac:dyDescent="0.3">
      <c r="A65" s="154" t="s">
        <v>83</v>
      </c>
      <c r="B65" s="155"/>
      <c r="C65" s="155"/>
      <c r="D65" s="155"/>
      <c r="E65" s="156"/>
      <c r="F65" s="29">
        <f>SUM(F49:F64)-F60</f>
        <v>0</v>
      </c>
      <c r="G65" s="43"/>
      <c r="H65" s="44"/>
      <c r="I65" s="44"/>
      <c r="J65" s="45"/>
      <c r="K65" s="40"/>
      <c r="S65" s="3">
        <v>1</v>
      </c>
    </row>
    <row r="66" spans="1:19" ht="30.75" customHeight="1" x14ac:dyDescent="0.25">
      <c r="A66" s="108" t="s">
        <v>84</v>
      </c>
      <c r="B66" s="109"/>
      <c r="C66" s="109"/>
      <c r="D66" s="109"/>
      <c r="E66" s="109"/>
      <c r="F66" s="109"/>
      <c r="G66" s="109"/>
      <c r="H66" s="109"/>
      <c r="I66" s="109"/>
      <c r="J66" s="121"/>
      <c r="S66" s="3">
        <v>1</v>
      </c>
    </row>
    <row r="67" spans="1:19" s="55" customFormat="1" ht="28.35" customHeight="1" x14ac:dyDescent="0.25">
      <c r="A67" s="157" t="s">
        <v>85</v>
      </c>
      <c r="B67" s="158"/>
      <c r="C67" s="158"/>
      <c r="D67" s="159"/>
      <c r="E67" s="128" t="s">
        <v>86</v>
      </c>
      <c r="F67" s="160"/>
      <c r="G67" s="160"/>
      <c r="H67" s="129"/>
      <c r="I67" s="161" t="s">
        <v>87</v>
      </c>
      <c r="J67" s="162"/>
      <c r="S67" s="3">
        <v>1</v>
      </c>
    </row>
    <row r="68" spans="1:19" s="58" customFormat="1" ht="25.5" x14ac:dyDescent="0.25">
      <c r="A68" s="151" t="s">
        <v>88</v>
      </c>
      <c r="B68" s="152"/>
      <c r="C68" s="152" t="s">
        <v>89</v>
      </c>
      <c r="D68" s="152"/>
      <c r="E68" s="56" t="s">
        <v>90</v>
      </c>
      <c r="F68" s="152" t="s">
        <v>91</v>
      </c>
      <c r="G68" s="152"/>
      <c r="H68" s="152"/>
      <c r="I68" s="56" t="s">
        <v>206</v>
      </c>
      <c r="J68" s="57" t="s">
        <v>93</v>
      </c>
      <c r="S68" s="3">
        <v>1</v>
      </c>
    </row>
    <row r="69" spans="1:19" s="58" customFormat="1" ht="36" customHeight="1" x14ac:dyDescent="0.25">
      <c r="A69" s="144" t="s">
        <v>207</v>
      </c>
      <c r="B69" s="145"/>
      <c r="C69" s="146"/>
      <c r="D69" s="145"/>
      <c r="E69" s="59" t="s">
        <v>208</v>
      </c>
      <c r="F69" s="147"/>
      <c r="G69" s="147"/>
      <c r="H69" s="147"/>
      <c r="I69" s="60"/>
      <c r="J69" s="61"/>
      <c r="S69" s="3">
        <v>1</v>
      </c>
    </row>
    <row r="70" spans="1:19" s="58" customFormat="1" ht="36" customHeight="1" x14ac:dyDescent="0.25">
      <c r="A70" s="144"/>
      <c r="B70" s="145"/>
      <c r="C70" s="146"/>
      <c r="D70" s="145"/>
      <c r="E70" s="59"/>
      <c r="F70" s="147"/>
      <c r="G70" s="147"/>
      <c r="H70" s="147"/>
      <c r="I70" s="60"/>
      <c r="J70" s="61"/>
      <c r="S70" s="3">
        <v>1</v>
      </c>
    </row>
    <row r="71" spans="1:19" s="58" customFormat="1" ht="36" customHeight="1" thickBot="1" x14ac:dyDescent="0.3">
      <c r="A71" s="144"/>
      <c r="B71" s="145"/>
      <c r="C71" s="148"/>
      <c r="D71" s="149"/>
      <c r="E71" s="59"/>
      <c r="F71" s="150"/>
      <c r="G71" s="150"/>
      <c r="H71" s="150"/>
      <c r="I71" s="63"/>
      <c r="J71" s="64"/>
      <c r="S71" s="3">
        <v>1</v>
      </c>
    </row>
    <row r="72" spans="1:19" ht="27.75" customHeight="1" x14ac:dyDescent="0.25">
      <c r="A72" s="108" t="s">
        <v>94</v>
      </c>
      <c r="B72" s="109"/>
      <c r="C72" s="109"/>
      <c r="D72" s="109"/>
      <c r="E72" s="109"/>
      <c r="F72" s="109"/>
      <c r="G72" s="109"/>
      <c r="H72" s="109"/>
      <c r="I72" s="109"/>
      <c r="J72" s="121"/>
      <c r="S72" s="3">
        <v>1</v>
      </c>
    </row>
    <row r="73" spans="1:19" s="58" customFormat="1" ht="43.5" customHeight="1" x14ac:dyDescent="0.25">
      <c r="A73" s="122" t="s">
        <v>95</v>
      </c>
      <c r="B73" s="123"/>
      <c r="C73" s="124"/>
      <c r="D73" s="56" t="s">
        <v>96</v>
      </c>
      <c r="E73" s="19" t="s">
        <v>97</v>
      </c>
      <c r="F73" s="19" t="s">
        <v>98</v>
      </c>
      <c r="G73" s="128" t="s">
        <v>99</v>
      </c>
      <c r="H73" s="129"/>
      <c r="I73" s="56" t="s">
        <v>100</v>
      </c>
      <c r="J73" s="130"/>
      <c r="S73" s="3">
        <v>1</v>
      </c>
    </row>
    <row r="74" spans="1:19" s="58" customFormat="1" ht="24.95" customHeight="1" x14ac:dyDescent="0.25">
      <c r="A74" s="125"/>
      <c r="B74" s="126"/>
      <c r="C74" s="127"/>
      <c r="D74" s="65">
        <v>0</v>
      </c>
      <c r="E74" s="65">
        <v>0</v>
      </c>
      <c r="F74" s="65">
        <v>0</v>
      </c>
      <c r="G74" s="132">
        <v>0</v>
      </c>
      <c r="H74" s="133"/>
      <c r="I74" s="66">
        <f>SUM(D74:H74)</f>
        <v>0</v>
      </c>
      <c r="J74" s="130"/>
      <c r="S74" s="3">
        <v>1</v>
      </c>
    </row>
    <row r="75" spans="1:19" s="58" customFormat="1" ht="24" customHeight="1" x14ac:dyDescent="0.25">
      <c r="A75" s="134" t="s">
        <v>101</v>
      </c>
      <c r="B75" s="135"/>
      <c r="C75" s="136"/>
      <c r="D75" s="67" t="s">
        <v>102</v>
      </c>
      <c r="E75" s="67" t="s">
        <v>103</v>
      </c>
      <c r="F75" s="68"/>
      <c r="G75" s="140"/>
      <c r="H75" s="141"/>
      <c r="I75" s="68"/>
      <c r="J75" s="130"/>
      <c r="S75" s="3">
        <v>1</v>
      </c>
    </row>
    <row r="76" spans="1:19" s="58" customFormat="1" ht="24.95" customHeight="1" thickBot="1" x14ac:dyDescent="0.3">
      <c r="A76" s="137"/>
      <c r="B76" s="138"/>
      <c r="C76" s="139"/>
      <c r="D76" s="69">
        <v>0</v>
      </c>
      <c r="E76" s="69">
        <v>0</v>
      </c>
      <c r="F76" s="69"/>
      <c r="G76" s="142"/>
      <c r="H76" s="143"/>
      <c r="I76" s="70">
        <f>SUM(D76:H76)</f>
        <v>0</v>
      </c>
      <c r="J76" s="131"/>
      <c r="S76" s="3">
        <v>1</v>
      </c>
    </row>
    <row r="77" spans="1:19" ht="30" customHeight="1" thickBot="1" x14ac:dyDescent="0.3">
      <c r="A77" s="209" t="s">
        <v>104</v>
      </c>
      <c r="B77" s="210"/>
      <c r="C77" s="210"/>
      <c r="D77" s="210"/>
      <c r="E77" s="210"/>
      <c r="F77" s="210"/>
      <c r="G77" s="210"/>
      <c r="H77" s="210"/>
      <c r="I77" s="210"/>
      <c r="J77" s="211"/>
      <c r="S77" s="3">
        <v>1</v>
      </c>
    </row>
    <row r="78" spans="1:19" ht="152.25" customHeight="1" x14ac:dyDescent="0.25">
      <c r="A78" s="212"/>
      <c r="B78" s="213"/>
      <c r="C78" s="213"/>
      <c r="D78" s="214"/>
      <c r="E78" s="214"/>
      <c r="F78" s="214"/>
      <c r="G78" s="215"/>
      <c r="H78" s="213"/>
      <c r="I78" s="216"/>
      <c r="J78" s="217"/>
      <c r="S78" s="3">
        <v>1</v>
      </c>
    </row>
    <row r="79" spans="1:19" ht="24" customHeight="1" thickBot="1" x14ac:dyDescent="0.3">
      <c r="A79" s="114"/>
      <c r="B79" s="115"/>
      <c r="C79" s="115"/>
      <c r="D79" s="116"/>
      <c r="E79" s="218"/>
      <c r="F79" s="219"/>
      <c r="G79" s="218"/>
      <c r="H79" s="220"/>
      <c r="I79" s="221"/>
      <c r="J79" s="222"/>
      <c r="S79" s="3">
        <v>1</v>
      </c>
    </row>
  </sheetData>
  <mergeCells count="131">
    <mergeCell ref="A4:C4"/>
    <mergeCell ref="D4:E4"/>
    <mergeCell ref="F4:F5"/>
    <mergeCell ref="G4:J4"/>
    <mergeCell ref="A5:C5"/>
    <mergeCell ref="D5:E5"/>
    <mergeCell ref="G5:J5"/>
    <mergeCell ref="D1:H1"/>
    <mergeCell ref="I1:J1"/>
    <mergeCell ref="A2:C2"/>
    <mergeCell ref="D2:E2"/>
    <mergeCell ref="G2:H2"/>
    <mergeCell ref="A3:C3"/>
    <mergeCell ref="D3:E3"/>
    <mergeCell ref="G3:H3"/>
    <mergeCell ref="A9:C9"/>
    <mergeCell ref="D9:E9"/>
    <mergeCell ref="F9:G9"/>
    <mergeCell ref="H9:I9"/>
    <mergeCell ref="A10:C10"/>
    <mergeCell ref="D10:E10"/>
    <mergeCell ref="F10:G10"/>
    <mergeCell ref="H10:I10"/>
    <mergeCell ref="A6:C6"/>
    <mergeCell ref="D6:J6"/>
    <mergeCell ref="A7:J7"/>
    <mergeCell ref="A8:C8"/>
    <mergeCell ref="D8:E8"/>
    <mergeCell ref="F8:G8"/>
    <mergeCell ref="H8:I8"/>
    <mergeCell ref="A13:C13"/>
    <mergeCell ref="D13:E13"/>
    <mergeCell ref="F13:G13"/>
    <mergeCell ref="H13:I13"/>
    <mergeCell ref="A14:C14"/>
    <mergeCell ref="D14:E14"/>
    <mergeCell ref="F14:G14"/>
    <mergeCell ref="H14:I14"/>
    <mergeCell ref="A11:C11"/>
    <mergeCell ref="D11:E11"/>
    <mergeCell ref="F11:G11"/>
    <mergeCell ref="H11:I11"/>
    <mergeCell ref="A12:C12"/>
    <mergeCell ref="D12:E12"/>
    <mergeCell ref="F12:G12"/>
    <mergeCell ref="H12:I12"/>
    <mergeCell ref="H17:I17"/>
    <mergeCell ref="A18:J18"/>
    <mergeCell ref="A19:C19"/>
    <mergeCell ref="H19:J40"/>
    <mergeCell ref="B20:C20"/>
    <mergeCell ref="B21:C21"/>
    <mergeCell ref="B22:C22"/>
    <mergeCell ref="A15:C15"/>
    <mergeCell ref="D15:E15"/>
    <mergeCell ref="F15:G15"/>
    <mergeCell ref="H15:I15"/>
    <mergeCell ref="A16:C16"/>
    <mergeCell ref="D16:E16"/>
    <mergeCell ref="F16:G16"/>
    <mergeCell ref="H16:I16"/>
    <mergeCell ref="A23:E23"/>
    <mergeCell ref="B24:E24"/>
    <mergeCell ref="A37:E37"/>
    <mergeCell ref="B38:E38"/>
    <mergeCell ref="B39:E39"/>
    <mergeCell ref="B40:E40"/>
    <mergeCell ref="A17:C17"/>
    <mergeCell ref="D17:E17"/>
    <mergeCell ref="F17:G17"/>
    <mergeCell ref="B45:E45"/>
    <mergeCell ref="B46:E46"/>
    <mergeCell ref="B47:E47"/>
    <mergeCell ref="A48:E48"/>
    <mergeCell ref="G48:J48"/>
    <mergeCell ref="B49:E49"/>
    <mergeCell ref="A41:E41"/>
    <mergeCell ref="G41:J41"/>
    <mergeCell ref="B42:E42"/>
    <mergeCell ref="B43:E43"/>
    <mergeCell ref="A44:E44"/>
    <mergeCell ref="G44:J44"/>
    <mergeCell ref="B56:E56"/>
    <mergeCell ref="B57:E57"/>
    <mergeCell ref="B58:E58"/>
    <mergeCell ref="B59:E59"/>
    <mergeCell ref="B60:E60"/>
    <mergeCell ref="B61:E61"/>
    <mergeCell ref="B50:E50"/>
    <mergeCell ref="B51:E51"/>
    <mergeCell ref="B52:E52"/>
    <mergeCell ref="B53:E53"/>
    <mergeCell ref="B54:E54"/>
    <mergeCell ref="B55:E55"/>
    <mergeCell ref="A68:B68"/>
    <mergeCell ref="C68:D68"/>
    <mergeCell ref="F68:H68"/>
    <mergeCell ref="A69:B69"/>
    <mergeCell ref="C69:D69"/>
    <mergeCell ref="F69:H69"/>
    <mergeCell ref="B62:E62"/>
    <mergeCell ref="B63:E63"/>
    <mergeCell ref="B64:E64"/>
    <mergeCell ref="A65:E65"/>
    <mergeCell ref="A66:J66"/>
    <mergeCell ref="A67:D67"/>
    <mergeCell ref="E67:H67"/>
    <mergeCell ref="I67:J67"/>
    <mergeCell ref="A72:J72"/>
    <mergeCell ref="A73:C74"/>
    <mergeCell ref="G73:H73"/>
    <mergeCell ref="J73:J76"/>
    <mergeCell ref="G74:H74"/>
    <mergeCell ref="A75:C76"/>
    <mergeCell ref="G75:H75"/>
    <mergeCell ref="G76:H76"/>
    <mergeCell ref="A70:B70"/>
    <mergeCell ref="C70:D70"/>
    <mergeCell ref="F70:H70"/>
    <mergeCell ref="A71:B71"/>
    <mergeCell ref="C71:D71"/>
    <mergeCell ref="F71:H71"/>
    <mergeCell ref="A77:J77"/>
    <mergeCell ref="A78:D78"/>
    <mergeCell ref="E78:F78"/>
    <mergeCell ref="G78:H78"/>
    <mergeCell ref="I78:J78"/>
    <mergeCell ref="A79:D79"/>
    <mergeCell ref="E79:F79"/>
    <mergeCell ref="G79:H79"/>
    <mergeCell ref="I79:J79"/>
  </mergeCells>
  <dataValidations count="3">
    <dataValidation type="list" allowBlank="1" showInputMessage="1" showErrorMessage="1" sqref="I69:I71" xr:uid="{95544968-3A43-48BE-96E0-FB387C946E9D}">
      <formula1>"Abierta,Cerrada"</formula1>
    </dataValidation>
    <dataValidation type="list" allowBlank="1" showInputMessage="1" showErrorMessage="1" sqref="A69:B71" xr:uid="{6201B7EC-4BA1-43A5-8014-C6C3EEF4F729}">
      <formula1>"AV,CI"</formula1>
    </dataValidation>
    <dataValidation type="list" allowBlank="1" showInputMessage="1" showErrorMessage="1" sqref="E69:E71" xr:uid="{C9B84BAD-FD2E-4925-9581-EA856EB32C64}">
      <formula1>"Correctiva,Preventiva, Mejora"</formula1>
    </dataValidation>
  </dataValidations>
  <printOptions horizontalCentered="1" verticalCentered="1"/>
  <pageMargins left="0.11811023622047245" right="0.19685039370078741" top="0.15748031496062992" bottom="0.15748031496062992" header="0.31496062992125984" footer="0.31496062992125984"/>
  <pageSetup paperSize="9" scale="60" fitToHeight="2" orientation="portrait" horizontalDpi="360" verticalDpi="360" r:id="rId1"/>
  <rowBreaks count="1" manualBreakCount="1">
    <brk id="40" max="9"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1D42F2CE-CF30-46FB-927A-B204E8FAE31A}">
          <x14:formula1>
            <xm:f>Trabajadores!$B$2:$B$165</xm:f>
          </x14:formula1>
          <xm:sqref>A8 D8 F8 H8 J8 A9 D9 F9 H9 J9 A10 D10 F10 H10 J10 A11 D11 F11 H11 J11 A12 D12 F12 H12 J12 A13 D13 F13 H13 J13 A14 D14 F14 H14 J14 A15 D15 F15 H15 J15 A16 D16 F16 H16 J16 A17 D17 F17 H17 J17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B4044-ABB2-4FC1-8006-8F9A995AA5FE}">
  <sheetPr codeName="Hoja19"/>
  <dimension ref="A1:S79"/>
  <sheetViews>
    <sheetView showGridLines="0" zoomScaleNormal="100" zoomScaleSheetLayoutView="100" workbookViewId="0">
      <pane ySplit="1" topLeftCell="A65" activePane="bottomLeft" state="frozen"/>
      <selection pane="bottomLeft" activeCell="D75" sqref="D75:E75"/>
    </sheetView>
  </sheetViews>
  <sheetFormatPr baseColWidth="10" defaultColWidth="9.42578125" defaultRowHeight="15" x14ac:dyDescent="0.25"/>
  <cols>
    <col min="1" max="1" width="5.85546875" customWidth="1"/>
    <col min="2" max="2" width="11.140625" customWidth="1"/>
    <col min="3" max="3" width="9.42578125" customWidth="1"/>
    <col min="4" max="4" width="10.7109375" customWidth="1"/>
    <col min="5" max="5" width="18.140625" customWidth="1"/>
    <col min="6" max="6" width="15.28515625" customWidth="1"/>
    <col min="7" max="7" width="12.140625" customWidth="1"/>
    <col min="8" max="8" width="22.85546875" customWidth="1"/>
    <col min="9" max="9" width="12.7109375" customWidth="1"/>
    <col min="10" max="10" width="25.140625" customWidth="1"/>
    <col min="11" max="11" width="2.42578125" customWidth="1"/>
    <col min="19" max="19" width="9.42578125" style="3"/>
  </cols>
  <sheetData>
    <row r="1" spans="1:19" ht="63.6" customHeight="1" thickBot="1" x14ac:dyDescent="0.3">
      <c r="A1" s="81"/>
      <c r="B1" s="82"/>
      <c r="C1" s="82"/>
      <c r="D1" s="256" t="s">
        <v>189</v>
      </c>
      <c r="E1" s="256"/>
      <c r="F1" s="256"/>
      <c r="G1" s="256"/>
      <c r="H1" s="257"/>
      <c r="I1" s="258" t="s">
        <v>1</v>
      </c>
      <c r="J1" s="259"/>
    </row>
    <row r="2" spans="1:19" ht="28.35" customHeight="1" x14ac:dyDescent="0.25">
      <c r="A2" s="260" t="s">
        <v>190</v>
      </c>
      <c r="B2" s="261"/>
      <c r="C2" s="261"/>
      <c r="D2" s="262" t="s">
        <v>3</v>
      </c>
      <c r="E2" s="263"/>
      <c r="F2" s="83" t="s">
        <v>191</v>
      </c>
      <c r="G2" s="264">
        <v>45435</v>
      </c>
      <c r="H2" s="265"/>
      <c r="I2" s="84" t="s">
        <v>5</v>
      </c>
      <c r="J2" s="85">
        <v>0</v>
      </c>
      <c r="S2" s="3">
        <v>1</v>
      </c>
    </row>
    <row r="3" spans="1:19" ht="28.35" customHeight="1" x14ac:dyDescent="0.25">
      <c r="A3" s="246" t="s">
        <v>192</v>
      </c>
      <c r="B3" s="247"/>
      <c r="C3" s="247"/>
      <c r="D3" s="266" t="s">
        <v>211</v>
      </c>
      <c r="E3" s="267"/>
      <c r="F3" s="86" t="s">
        <v>193</v>
      </c>
      <c r="G3" s="268"/>
      <c r="H3" s="269"/>
      <c r="I3" s="86" t="s">
        <v>194</v>
      </c>
      <c r="J3" s="87"/>
      <c r="S3" s="3">
        <v>1</v>
      </c>
    </row>
    <row r="4" spans="1:19" ht="24.95" customHeight="1" x14ac:dyDescent="0.25">
      <c r="A4" s="246" t="s">
        <v>195</v>
      </c>
      <c r="B4" s="247"/>
      <c r="C4" s="247"/>
      <c r="D4" s="248" t="s">
        <v>9</v>
      </c>
      <c r="E4" s="248"/>
      <c r="F4" s="249" t="s">
        <v>196</v>
      </c>
      <c r="G4" s="251" t="s">
        <v>17</v>
      </c>
      <c r="H4" s="252"/>
      <c r="I4" s="252"/>
      <c r="J4" s="253"/>
      <c r="S4" s="3">
        <v>1</v>
      </c>
    </row>
    <row r="5" spans="1:19" ht="24.95" customHeight="1" x14ac:dyDescent="0.25">
      <c r="A5" s="246" t="s">
        <v>197</v>
      </c>
      <c r="B5" s="247"/>
      <c r="C5" s="247"/>
      <c r="D5" s="254" t="s">
        <v>212</v>
      </c>
      <c r="E5" s="255"/>
      <c r="F5" s="250"/>
      <c r="G5" s="251" t="s">
        <v>15</v>
      </c>
      <c r="H5" s="252"/>
      <c r="I5" s="252"/>
      <c r="J5" s="253"/>
      <c r="S5" s="3">
        <v>1</v>
      </c>
    </row>
    <row r="6" spans="1:19" ht="42.75" customHeight="1" thickBot="1" x14ac:dyDescent="0.3">
      <c r="A6" s="237" t="s">
        <v>198</v>
      </c>
      <c r="B6" s="238"/>
      <c r="C6" s="238"/>
      <c r="D6" s="239"/>
      <c r="E6" s="240"/>
      <c r="F6" s="240"/>
      <c r="G6" s="240"/>
      <c r="H6" s="240"/>
      <c r="I6" s="240"/>
      <c r="J6" s="241"/>
      <c r="S6" s="3">
        <v>1</v>
      </c>
    </row>
    <row r="7" spans="1:19" ht="26.25" customHeight="1" x14ac:dyDescent="0.25">
      <c r="A7" s="242" t="s">
        <v>199</v>
      </c>
      <c r="B7" s="243"/>
      <c r="C7" s="243"/>
      <c r="D7" s="244"/>
      <c r="E7" s="244"/>
      <c r="F7" s="244"/>
      <c r="G7" s="244"/>
      <c r="H7" s="244"/>
      <c r="I7" s="244"/>
      <c r="J7" s="245"/>
      <c r="S7" s="3">
        <v>1</v>
      </c>
    </row>
    <row r="8" spans="1:19" s="16" customFormat="1" ht="21" customHeight="1" x14ac:dyDescent="0.25">
      <c r="A8" s="230"/>
      <c r="B8" s="230"/>
      <c r="C8" s="230"/>
      <c r="D8" s="231"/>
      <c r="E8" s="231"/>
      <c r="F8" s="230"/>
      <c r="G8" s="230"/>
      <c r="H8" s="230"/>
      <c r="I8" s="230"/>
      <c r="J8" s="88"/>
      <c r="S8" s="3">
        <v>1</v>
      </c>
    </row>
    <row r="9" spans="1:19" s="16" customFormat="1" ht="21" customHeight="1" x14ac:dyDescent="0.25">
      <c r="A9" s="232"/>
      <c r="B9" s="233"/>
      <c r="C9" s="234"/>
      <c r="D9" s="235"/>
      <c r="E9" s="236"/>
      <c r="F9" s="232"/>
      <c r="G9" s="234"/>
      <c r="H9" s="232"/>
      <c r="I9" s="234"/>
      <c r="J9" s="88"/>
      <c r="S9" s="3">
        <v>1</v>
      </c>
    </row>
    <row r="10" spans="1:19" s="16" customFormat="1" ht="21" customHeight="1" x14ac:dyDescent="0.25">
      <c r="A10" s="232"/>
      <c r="B10" s="233"/>
      <c r="C10" s="234"/>
      <c r="D10" s="235"/>
      <c r="E10" s="236"/>
      <c r="F10" s="232"/>
      <c r="G10" s="234"/>
      <c r="H10" s="232"/>
      <c r="I10" s="234"/>
      <c r="J10" s="88"/>
      <c r="S10" s="3">
        <v>1</v>
      </c>
    </row>
    <row r="11" spans="1:19" s="16" customFormat="1" ht="21" customHeight="1" x14ac:dyDescent="0.25">
      <c r="A11" s="232"/>
      <c r="B11" s="233"/>
      <c r="C11" s="234"/>
      <c r="D11" s="235"/>
      <c r="E11" s="236"/>
      <c r="F11" s="232"/>
      <c r="G11" s="234"/>
      <c r="H11" s="232"/>
      <c r="I11" s="234"/>
      <c r="J11" s="88"/>
      <c r="S11" s="3">
        <v>1</v>
      </c>
    </row>
    <row r="12" spans="1:19" s="16" customFormat="1" ht="21" customHeight="1" x14ac:dyDescent="0.25">
      <c r="A12" s="230"/>
      <c r="B12" s="230"/>
      <c r="C12" s="230"/>
      <c r="D12" s="231"/>
      <c r="E12" s="231"/>
      <c r="F12" s="230"/>
      <c r="G12" s="230"/>
      <c r="H12" s="230"/>
      <c r="I12" s="230"/>
      <c r="J12" s="88"/>
      <c r="S12" s="3">
        <v>1</v>
      </c>
    </row>
    <row r="13" spans="1:19" s="16" customFormat="1" ht="21" customHeight="1" x14ac:dyDescent="0.25">
      <c r="A13" s="230"/>
      <c r="B13" s="230"/>
      <c r="C13" s="230"/>
      <c r="D13" s="231"/>
      <c r="E13" s="231"/>
      <c r="F13" s="230"/>
      <c r="G13" s="230"/>
      <c r="H13" s="230"/>
      <c r="I13" s="230"/>
      <c r="J13" s="88"/>
      <c r="S13" s="3">
        <v>1</v>
      </c>
    </row>
    <row r="14" spans="1:19" s="16" customFormat="1" ht="21" customHeight="1" x14ac:dyDescent="0.25">
      <c r="A14" s="230"/>
      <c r="B14" s="230"/>
      <c r="C14" s="230"/>
      <c r="D14" s="231"/>
      <c r="E14" s="231"/>
      <c r="F14" s="230"/>
      <c r="G14" s="230"/>
      <c r="H14" s="230"/>
      <c r="I14" s="230"/>
      <c r="J14" s="88"/>
      <c r="S14" s="3">
        <v>1</v>
      </c>
    </row>
    <row r="15" spans="1:19" s="16" customFormat="1" ht="21" customHeight="1" x14ac:dyDescent="0.25">
      <c r="A15" s="230"/>
      <c r="B15" s="230"/>
      <c r="C15" s="230"/>
      <c r="D15" s="231"/>
      <c r="E15" s="231"/>
      <c r="F15" s="230"/>
      <c r="G15" s="230"/>
      <c r="H15" s="230"/>
      <c r="I15" s="230"/>
      <c r="J15" s="88"/>
      <c r="S15" s="3">
        <v>1</v>
      </c>
    </row>
    <row r="16" spans="1:19" s="16" customFormat="1" ht="21" customHeight="1" x14ac:dyDescent="0.25">
      <c r="A16" s="230"/>
      <c r="B16" s="230"/>
      <c r="C16" s="230"/>
      <c r="D16" s="231"/>
      <c r="E16" s="231"/>
      <c r="F16" s="230"/>
      <c r="G16" s="230"/>
      <c r="H16" s="230"/>
      <c r="I16" s="230"/>
      <c r="J16" s="88"/>
      <c r="S16" s="3">
        <v>1</v>
      </c>
    </row>
    <row r="17" spans="1:19" s="16" customFormat="1" ht="21" customHeight="1" x14ac:dyDescent="0.25">
      <c r="A17" s="230"/>
      <c r="B17" s="230"/>
      <c r="C17" s="230"/>
      <c r="D17" s="231"/>
      <c r="E17" s="231"/>
      <c r="F17" s="230"/>
      <c r="G17" s="230"/>
      <c r="H17" s="230"/>
      <c r="I17" s="230"/>
      <c r="J17" s="88"/>
      <c r="S17" s="3">
        <v>1</v>
      </c>
    </row>
    <row r="18" spans="1:19" ht="27" customHeight="1" x14ac:dyDescent="0.25">
      <c r="A18" s="195" t="s">
        <v>18</v>
      </c>
      <c r="B18" s="196"/>
      <c r="C18" s="196"/>
      <c r="D18" s="197"/>
      <c r="E18" s="197"/>
      <c r="F18" s="197"/>
      <c r="G18" s="197"/>
      <c r="H18" s="197"/>
      <c r="I18" s="197"/>
      <c r="J18" s="198"/>
      <c r="S18" s="3">
        <v>1</v>
      </c>
    </row>
    <row r="19" spans="1:19" s="16" customFormat="1" ht="30.75" customHeight="1" x14ac:dyDescent="0.25">
      <c r="A19" s="172" t="s">
        <v>19</v>
      </c>
      <c r="B19" s="173"/>
      <c r="C19" s="174"/>
      <c r="D19" s="13" t="s">
        <v>20</v>
      </c>
      <c r="E19" s="13" t="s">
        <v>5</v>
      </c>
      <c r="F19" s="14" t="s">
        <v>21</v>
      </c>
      <c r="G19" s="15"/>
      <c r="H19" s="175"/>
      <c r="I19" s="175"/>
      <c r="J19" s="176"/>
      <c r="S19" s="3">
        <v>1</v>
      </c>
    </row>
    <row r="20" spans="1:19" s="16" customFormat="1" ht="30.6" customHeight="1" x14ac:dyDescent="0.25">
      <c r="A20" s="89" t="s">
        <v>22</v>
      </c>
      <c r="B20" s="179" t="s">
        <v>23</v>
      </c>
      <c r="C20" s="180"/>
      <c r="D20" s="90">
        <v>0</v>
      </c>
      <c r="E20" s="91">
        <v>0</v>
      </c>
      <c r="F20" s="92">
        <f>+(D20/60)*E20</f>
        <v>0</v>
      </c>
      <c r="G20" s="21"/>
      <c r="H20" s="177"/>
      <c r="I20" s="177"/>
      <c r="J20" s="178"/>
      <c r="S20" s="3">
        <v>1</v>
      </c>
    </row>
    <row r="21" spans="1:19" s="16" customFormat="1" ht="36.75" customHeight="1" x14ac:dyDescent="0.25">
      <c r="A21" s="89" t="s">
        <v>24</v>
      </c>
      <c r="B21" s="179" t="s">
        <v>25</v>
      </c>
      <c r="C21" s="180"/>
      <c r="D21" s="90">
        <v>0</v>
      </c>
      <c r="E21" s="91">
        <v>0</v>
      </c>
      <c r="F21" s="20">
        <f>(D21/60)*E21</f>
        <v>0</v>
      </c>
      <c r="G21" s="21"/>
      <c r="H21" s="177"/>
      <c r="I21" s="177"/>
      <c r="J21" s="178"/>
      <c r="S21" s="3">
        <v>1</v>
      </c>
    </row>
    <row r="22" spans="1:19" s="16" customFormat="1" ht="36.75" customHeight="1" x14ac:dyDescent="0.25">
      <c r="A22" s="89" t="s">
        <v>26</v>
      </c>
      <c r="B22" s="179" t="s">
        <v>27</v>
      </c>
      <c r="C22" s="180"/>
      <c r="D22" s="18">
        <v>0</v>
      </c>
      <c r="E22" s="19">
        <v>0</v>
      </c>
      <c r="F22" s="20">
        <f>(D22/60)*E22</f>
        <v>0</v>
      </c>
      <c r="G22" s="21"/>
      <c r="H22" s="177"/>
      <c r="I22" s="177"/>
      <c r="J22" s="178"/>
      <c r="S22" s="3">
        <v>1</v>
      </c>
    </row>
    <row r="23" spans="1:19" s="16" customFormat="1" ht="30" customHeight="1" x14ac:dyDescent="0.25">
      <c r="A23" s="172" t="s">
        <v>28</v>
      </c>
      <c r="B23" s="173"/>
      <c r="C23" s="173"/>
      <c r="D23" s="173"/>
      <c r="E23" s="181"/>
      <c r="F23" s="14" t="s">
        <v>29</v>
      </c>
      <c r="G23" s="22"/>
      <c r="H23" s="177"/>
      <c r="I23" s="177"/>
      <c r="J23" s="178"/>
      <c r="S23" s="3">
        <v>1</v>
      </c>
    </row>
    <row r="24" spans="1:19" s="16" customFormat="1" ht="20.100000000000001" customHeight="1" x14ac:dyDescent="0.25">
      <c r="A24" s="17">
        <v>2.1</v>
      </c>
      <c r="B24" s="153" t="s">
        <v>30</v>
      </c>
      <c r="C24" s="153"/>
      <c r="D24" s="153"/>
      <c r="E24" s="163"/>
      <c r="F24" s="93">
        <v>0</v>
      </c>
      <c r="G24" s="24"/>
      <c r="H24" s="177"/>
      <c r="I24" s="177"/>
      <c r="J24" s="178"/>
      <c r="S24" s="3">
        <v>1</v>
      </c>
    </row>
    <row r="25" spans="1:19" s="16" customFormat="1" ht="20.100000000000001" customHeight="1" x14ac:dyDescent="0.25">
      <c r="A25" s="17">
        <v>2.2000000000000002</v>
      </c>
      <c r="B25" s="25" t="s">
        <v>31</v>
      </c>
      <c r="C25" s="25"/>
      <c r="D25" s="25"/>
      <c r="E25" s="26"/>
      <c r="F25" s="93">
        <v>0</v>
      </c>
      <c r="G25" s="24"/>
      <c r="H25" s="177"/>
      <c r="I25" s="177"/>
      <c r="J25" s="178"/>
      <c r="S25" s="3">
        <v>1</v>
      </c>
    </row>
    <row r="26" spans="1:19" s="16" customFormat="1" ht="20.100000000000001" customHeight="1" x14ac:dyDescent="0.25">
      <c r="A26" s="17">
        <v>2.2999999999999998</v>
      </c>
      <c r="B26" s="25" t="s">
        <v>32</v>
      </c>
      <c r="C26" s="25"/>
      <c r="D26" s="25"/>
      <c r="E26" s="26"/>
      <c r="F26" s="94">
        <v>0</v>
      </c>
      <c r="G26" s="24"/>
      <c r="H26" s="177"/>
      <c r="I26" s="177"/>
      <c r="J26" s="178"/>
      <c r="S26" s="3">
        <v>1</v>
      </c>
    </row>
    <row r="27" spans="1:19" s="16" customFormat="1" ht="20.100000000000001" customHeight="1" x14ac:dyDescent="0.25">
      <c r="A27" s="17">
        <v>2.4</v>
      </c>
      <c r="B27" s="25" t="s">
        <v>33</v>
      </c>
      <c r="C27" s="25"/>
      <c r="D27" s="25"/>
      <c r="E27" s="26"/>
      <c r="F27" s="94">
        <v>0</v>
      </c>
      <c r="G27" s="24"/>
      <c r="H27" s="177"/>
      <c r="I27" s="177"/>
      <c r="J27" s="178"/>
      <c r="S27" s="3">
        <v>1</v>
      </c>
    </row>
    <row r="28" spans="1:19" s="16" customFormat="1" ht="20.100000000000001" customHeight="1" x14ac:dyDescent="0.25">
      <c r="A28" s="17">
        <v>2.5</v>
      </c>
      <c r="B28" s="25" t="s">
        <v>34</v>
      </c>
      <c r="C28" s="25"/>
      <c r="D28" s="25"/>
      <c r="E28" s="26"/>
      <c r="F28" s="94">
        <v>0</v>
      </c>
      <c r="G28" s="24"/>
      <c r="H28" s="177"/>
      <c r="I28" s="177"/>
      <c r="J28" s="178"/>
      <c r="S28" s="3">
        <v>1</v>
      </c>
    </row>
    <row r="29" spans="1:19" s="16" customFormat="1" ht="20.100000000000001" customHeight="1" x14ac:dyDescent="0.25">
      <c r="A29" s="17">
        <v>2.6</v>
      </c>
      <c r="B29" s="25" t="s">
        <v>35</v>
      </c>
      <c r="C29" s="25"/>
      <c r="D29" s="25"/>
      <c r="E29" s="26"/>
      <c r="F29" s="94">
        <v>0</v>
      </c>
      <c r="G29" s="24"/>
      <c r="H29" s="177"/>
      <c r="I29" s="177"/>
      <c r="J29" s="178"/>
      <c r="S29" s="3">
        <v>1</v>
      </c>
    </row>
    <row r="30" spans="1:19" s="16" customFormat="1" ht="20.100000000000001" customHeight="1" x14ac:dyDescent="0.25">
      <c r="A30" s="17">
        <v>2.7</v>
      </c>
      <c r="B30" s="25" t="s">
        <v>36</v>
      </c>
      <c r="C30" s="25"/>
      <c r="D30" s="25"/>
      <c r="E30" s="26"/>
      <c r="F30" s="94">
        <v>0</v>
      </c>
      <c r="G30" s="24"/>
      <c r="H30" s="177"/>
      <c r="I30" s="177"/>
      <c r="J30" s="178"/>
      <c r="S30" s="3">
        <v>1</v>
      </c>
    </row>
    <row r="31" spans="1:19" s="16" customFormat="1" ht="20.100000000000001" customHeight="1" x14ac:dyDescent="0.25">
      <c r="A31" s="17">
        <v>2.8</v>
      </c>
      <c r="B31" s="25" t="s">
        <v>37</v>
      </c>
      <c r="C31" s="25"/>
      <c r="D31" s="25"/>
      <c r="E31" s="26"/>
      <c r="F31" s="94">
        <v>0</v>
      </c>
      <c r="G31" s="24"/>
      <c r="H31" s="177"/>
      <c r="I31" s="177"/>
      <c r="J31" s="178"/>
      <c r="S31" s="3">
        <v>1</v>
      </c>
    </row>
    <row r="32" spans="1:19" s="16" customFormat="1" ht="20.100000000000001" customHeight="1" x14ac:dyDescent="0.25">
      <c r="A32" s="17">
        <v>2.9</v>
      </c>
      <c r="B32" s="25" t="s">
        <v>38</v>
      </c>
      <c r="C32" s="25"/>
      <c r="D32" s="25"/>
      <c r="E32" s="26"/>
      <c r="F32" s="94">
        <v>0</v>
      </c>
      <c r="G32" s="24"/>
      <c r="H32" s="177"/>
      <c r="I32" s="177"/>
      <c r="J32" s="178"/>
      <c r="S32" s="3">
        <v>1</v>
      </c>
    </row>
    <row r="33" spans="1:19" s="16" customFormat="1" ht="20.100000000000001" customHeight="1" x14ac:dyDescent="0.25">
      <c r="A33" s="28" t="s">
        <v>39</v>
      </c>
      <c r="B33" s="25" t="s">
        <v>40</v>
      </c>
      <c r="C33" s="25"/>
      <c r="D33" s="25"/>
      <c r="E33" s="26"/>
      <c r="F33" s="94">
        <v>0</v>
      </c>
      <c r="G33" s="24"/>
      <c r="H33" s="177"/>
      <c r="I33" s="177"/>
      <c r="J33" s="178"/>
      <c r="S33" s="3">
        <v>1</v>
      </c>
    </row>
    <row r="34" spans="1:19" s="16" customFormat="1" ht="20.100000000000001" customHeight="1" x14ac:dyDescent="0.25">
      <c r="A34" s="17">
        <v>2.11</v>
      </c>
      <c r="B34" s="25" t="s">
        <v>41</v>
      </c>
      <c r="C34" s="25"/>
      <c r="D34" s="25"/>
      <c r="E34" s="26"/>
      <c r="F34" s="94">
        <v>0</v>
      </c>
      <c r="G34" s="24"/>
      <c r="H34" s="177"/>
      <c r="I34" s="177"/>
      <c r="J34" s="178"/>
      <c r="S34" s="3">
        <v>1</v>
      </c>
    </row>
    <row r="35" spans="1:19" s="16" customFormat="1" ht="20.100000000000001" customHeight="1" x14ac:dyDescent="0.25">
      <c r="A35" s="17">
        <v>2.12</v>
      </c>
      <c r="B35" s="25" t="s">
        <v>42</v>
      </c>
      <c r="C35" s="25"/>
      <c r="D35" s="25"/>
      <c r="E35" s="26"/>
      <c r="F35" s="94">
        <v>0</v>
      </c>
      <c r="G35" s="24"/>
      <c r="H35" s="177"/>
      <c r="I35" s="177"/>
      <c r="J35" s="178"/>
      <c r="S35" s="3">
        <v>1</v>
      </c>
    </row>
    <row r="36" spans="1:19" s="16" customFormat="1" ht="20.100000000000001" customHeight="1" x14ac:dyDescent="0.25">
      <c r="A36" s="17">
        <v>2.13</v>
      </c>
      <c r="B36" s="25" t="s">
        <v>43</v>
      </c>
      <c r="C36" s="25"/>
      <c r="D36" s="25"/>
      <c r="E36" s="26"/>
      <c r="F36" s="94">
        <v>0</v>
      </c>
      <c r="G36" s="24"/>
      <c r="H36" s="177"/>
      <c r="I36" s="177"/>
      <c r="J36" s="178"/>
      <c r="S36" s="3">
        <v>1</v>
      </c>
    </row>
    <row r="37" spans="1:19" s="16" customFormat="1" ht="25.5" customHeight="1" x14ac:dyDescent="0.25">
      <c r="A37" s="225" t="s">
        <v>44</v>
      </c>
      <c r="B37" s="226"/>
      <c r="C37" s="226"/>
      <c r="D37" s="226"/>
      <c r="E37" s="227"/>
      <c r="F37" s="29">
        <f>SUM(F24:F36)</f>
        <v>0</v>
      </c>
      <c r="G37" s="30"/>
      <c r="H37" s="177"/>
      <c r="I37" s="177"/>
      <c r="J37" s="178"/>
      <c r="S37" s="3">
        <v>1</v>
      </c>
    </row>
    <row r="38" spans="1:19" s="16" customFormat="1" ht="24.75" customHeight="1" x14ac:dyDescent="0.25">
      <c r="A38" s="95" t="s">
        <v>45</v>
      </c>
      <c r="B38" s="228" t="s">
        <v>46</v>
      </c>
      <c r="C38" s="228"/>
      <c r="D38" s="228"/>
      <c r="E38" s="228"/>
      <c r="F38" s="96">
        <v>0</v>
      </c>
      <c r="G38" s="22"/>
      <c r="H38" s="177"/>
      <c r="I38" s="177"/>
      <c r="J38" s="178"/>
      <c r="S38" s="3">
        <v>1</v>
      </c>
    </row>
    <row r="39" spans="1:19" s="16" customFormat="1" ht="25.5" customHeight="1" x14ac:dyDescent="0.25">
      <c r="A39" s="97" t="s">
        <v>47</v>
      </c>
      <c r="B39" s="229" t="s">
        <v>48</v>
      </c>
      <c r="C39" s="229"/>
      <c r="D39" s="229"/>
      <c r="E39" s="229"/>
      <c r="F39" s="98">
        <v>0</v>
      </c>
      <c r="G39" s="33"/>
      <c r="H39" s="177"/>
      <c r="I39" s="177"/>
      <c r="J39" s="178"/>
      <c r="S39" s="3">
        <v>1</v>
      </c>
    </row>
    <row r="40" spans="1:19" s="16" customFormat="1" ht="30.75" customHeight="1" thickBot="1" x14ac:dyDescent="0.3">
      <c r="A40" s="97" t="s">
        <v>49</v>
      </c>
      <c r="B40" s="229" t="s">
        <v>50</v>
      </c>
      <c r="C40" s="229"/>
      <c r="D40" s="229"/>
      <c r="E40" s="229"/>
      <c r="F40" s="98">
        <v>0</v>
      </c>
      <c r="G40" s="22"/>
      <c r="H40" s="177"/>
      <c r="I40" s="177"/>
      <c r="J40" s="178"/>
      <c r="S40" s="3">
        <v>1</v>
      </c>
    </row>
    <row r="41" spans="1:19" ht="35.25" customHeight="1" x14ac:dyDescent="0.25">
      <c r="A41" s="170" t="s">
        <v>51</v>
      </c>
      <c r="B41" s="171"/>
      <c r="C41" s="171"/>
      <c r="D41" s="171"/>
      <c r="E41" s="171"/>
      <c r="F41" s="99" t="s">
        <v>52</v>
      </c>
      <c r="G41" s="167"/>
      <c r="H41" s="167"/>
      <c r="I41" s="167"/>
      <c r="J41" s="168"/>
      <c r="L41" s="16"/>
      <c r="M41" s="16"/>
      <c r="N41" s="16"/>
      <c r="S41" s="3">
        <v>1</v>
      </c>
    </row>
    <row r="42" spans="1:19" ht="36.75" customHeight="1" x14ac:dyDescent="0.25">
      <c r="A42" s="100" t="s">
        <v>200</v>
      </c>
      <c r="B42" s="223" t="s">
        <v>201</v>
      </c>
      <c r="C42" s="223"/>
      <c r="D42" s="223"/>
      <c r="E42" s="223"/>
      <c r="F42" s="101">
        <v>0</v>
      </c>
      <c r="G42" s="37"/>
      <c r="H42" s="38"/>
      <c r="I42" s="38"/>
      <c r="J42" s="39"/>
      <c r="K42" s="40"/>
      <c r="L42" s="16"/>
      <c r="M42" s="16"/>
      <c r="N42" s="16"/>
      <c r="S42" s="3">
        <v>1</v>
      </c>
    </row>
    <row r="43" spans="1:19" ht="36.75" customHeight="1" thickBot="1" x14ac:dyDescent="0.3">
      <c r="A43" s="102" t="s">
        <v>202</v>
      </c>
      <c r="B43" s="224" t="s">
        <v>54</v>
      </c>
      <c r="C43" s="224"/>
      <c r="D43" s="224"/>
      <c r="E43" s="224"/>
      <c r="F43" s="103">
        <v>0</v>
      </c>
      <c r="G43" s="43"/>
      <c r="H43" s="44"/>
      <c r="I43" s="44"/>
      <c r="J43" s="45"/>
      <c r="K43" s="40"/>
      <c r="L43" s="16"/>
      <c r="M43" s="16"/>
      <c r="N43" s="16"/>
      <c r="S43" s="3">
        <v>1</v>
      </c>
    </row>
    <row r="44" spans="1:19" ht="37.5" customHeight="1" x14ac:dyDescent="0.25">
      <c r="A44" s="170" t="s">
        <v>55</v>
      </c>
      <c r="B44" s="171"/>
      <c r="C44" s="171"/>
      <c r="D44" s="171"/>
      <c r="E44" s="171"/>
      <c r="F44" s="104" t="s">
        <v>56</v>
      </c>
      <c r="G44" s="167"/>
      <c r="H44" s="167"/>
      <c r="I44" s="167"/>
      <c r="J44" s="168"/>
      <c r="K44" s="40"/>
      <c r="L44" s="16"/>
      <c r="M44" s="16"/>
      <c r="N44" s="16"/>
      <c r="S44" s="3">
        <v>1</v>
      </c>
    </row>
    <row r="45" spans="1:19" ht="28.5" customHeight="1" x14ac:dyDescent="0.25">
      <c r="A45" s="105" t="s">
        <v>203</v>
      </c>
      <c r="B45" s="223" t="s">
        <v>57</v>
      </c>
      <c r="C45" s="223"/>
      <c r="D45" s="223"/>
      <c r="E45" s="223"/>
      <c r="F45" s="106">
        <v>0</v>
      </c>
      <c r="G45" s="47"/>
      <c r="H45" s="48"/>
      <c r="I45" s="48"/>
      <c r="J45" s="49"/>
      <c r="K45" s="40"/>
      <c r="L45" s="16"/>
      <c r="M45" s="16"/>
      <c r="N45" s="16"/>
      <c r="S45" s="3">
        <v>1</v>
      </c>
    </row>
    <row r="46" spans="1:19" ht="30.75" customHeight="1" x14ac:dyDescent="0.25">
      <c r="A46" s="105" t="s">
        <v>204</v>
      </c>
      <c r="B46" s="224" t="s">
        <v>58</v>
      </c>
      <c r="C46" s="224"/>
      <c r="D46" s="224"/>
      <c r="E46" s="224"/>
      <c r="F46" s="106">
        <v>0</v>
      </c>
      <c r="G46" s="47"/>
      <c r="H46" s="48"/>
      <c r="I46" s="48"/>
      <c r="J46" s="49"/>
      <c r="K46" s="40"/>
      <c r="L46" s="16"/>
      <c r="M46" s="16"/>
      <c r="N46" s="16"/>
      <c r="S46" s="3">
        <v>1</v>
      </c>
    </row>
    <row r="47" spans="1:19" ht="30.75" customHeight="1" thickBot="1" x14ac:dyDescent="0.3">
      <c r="A47" s="105" t="s">
        <v>205</v>
      </c>
      <c r="B47" s="224" t="s">
        <v>59</v>
      </c>
      <c r="C47" s="224"/>
      <c r="D47" s="224"/>
      <c r="E47" s="224"/>
      <c r="F47" s="106">
        <v>0</v>
      </c>
      <c r="G47" s="50"/>
      <c r="H47" s="44"/>
      <c r="I47" s="44"/>
      <c r="J47" s="45"/>
      <c r="K47" s="40"/>
      <c r="L47" s="16"/>
      <c r="M47" s="16"/>
      <c r="N47" s="16"/>
      <c r="S47" s="3">
        <v>1</v>
      </c>
    </row>
    <row r="48" spans="1:19" ht="31.5" customHeight="1" x14ac:dyDescent="0.25">
      <c r="A48" s="170" t="s">
        <v>60</v>
      </c>
      <c r="B48" s="171"/>
      <c r="C48" s="171"/>
      <c r="D48" s="171"/>
      <c r="E48" s="171"/>
      <c r="F48" s="104" t="s">
        <v>52</v>
      </c>
      <c r="G48" s="167"/>
      <c r="H48" s="167"/>
      <c r="I48" s="167"/>
      <c r="J48" s="168"/>
      <c r="K48" s="40"/>
      <c r="L48" s="16"/>
      <c r="M48" s="16"/>
      <c r="N48" s="16"/>
      <c r="S48" s="3">
        <v>1</v>
      </c>
    </row>
    <row r="49" spans="1:19" ht="20.100000000000001" customHeight="1" x14ac:dyDescent="0.25">
      <c r="A49" s="17">
        <v>5.0999999999999996</v>
      </c>
      <c r="B49" s="153" t="s">
        <v>61</v>
      </c>
      <c r="C49" s="153"/>
      <c r="D49" s="153"/>
      <c r="E49" s="163"/>
      <c r="F49" s="107">
        <v>0</v>
      </c>
      <c r="G49" s="33"/>
      <c r="H49" s="48"/>
      <c r="I49" s="48"/>
      <c r="J49" s="49"/>
      <c r="K49" s="40"/>
      <c r="S49" s="3">
        <v>1</v>
      </c>
    </row>
    <row r="50" spans="1:19" ht="20.100000000000001" customHeight="1" x14ac:dyDescent="0.25">
      <c r="A50" s="17">
        <v>5.2</v>
      </c>
      <c r="B50" s="153" t="s">
        <v>62</v>
      </c>
      <c r="C50" s="153"/>
      <c r="D50" s="153"/>
      <c r="E50" s="163"/>
      <c r="F50" s="107">
        <v>0</v>
      </c>
      <c r="G50" s="33"/>
      <c r="H50" s="48"/>
      <c r="I50" s="48"/>
      <c r="J50" s="49"/>
      <c r="K50" s="40"/>
      <c r="S50" s="3">
        <v>1</v>
      </c>
    </row>
    <row r="51" spans="1:19" ht="20.100000000000001" customHeight="1" x14ac:dyDescent="0.25">
      <c r="A51" s="17">
        <v>5.3</v>
      </c>
      <c r="B51" s="153" t="s">
        <v>63</v>
      </c>
      <c r="C51" s="153"/>
      <c r="D51" s="153"/>
      <c r="E51" s="163"/>
      <c r="F51" s="107">
        <v>0</v>
      </c>
      <c r="G51" s="33"/>
      <c r="H51" s="48"/>
      <c r="I51" s="48"/>
      <c r="J51" s="49"/>
      <c r="K51" s="40"/>
      <c r="S51" s="3">
        <v>1</v>
      </c>
    </row>
    <row r="52" spans="1:19" ht="20.100000000000001" customHeight="1" x14ac:dyDescent="0.25">
      <c r="A52" s="17">
        <v>5.4</v>
      </c>
      <c r="B52" s="153" t="s">
        <v>64</v>
      </c>
      <c r="C52" s="153"/>
      <c r="D52" s="153"/>
      <c r="E52" s="163"/>
      <c r="F52" s="107">
        <v>0</v>
      </c>
      <c r="G52" s="33"/>
      <c r="H52" s="48"/>
      <c r="I52" s="48"/>
      <c r="J52" s="49"/>
      <c r="K52" s="40"/>
      <c r="S52" s="3">
        <v>1</v>
      </c>
    </row>
    <row r="53" spans="1:19" ht="20.100000000000001" customHeight="1" x14ac:dyDescent="0.25">
      <c r="A53" s="17">
        <v>5.5</v>
      </c>
      <c r="B53" s="153" t="s">
        <v>65</v>
      </c>
      <c r="C53" s="153"/>
      <c r="D53" s="153"/>
      <c r="E53" s="163"/>
      <c r="F53" s="107">
        <v>0</v>
      </c>
      <c r="G53" s="33"/>
      <c r="H53" s="48"/>
      <c r="I53" s="48"/>
      <c r="J53" s="49"/>
      <c r="K53" s="40"/>
      <c r="S53" s="3">
        <v>1</v>
      </c>
    </row>
    <row r="54" spans="1:19" ht="20.100000000000001" customHeight="1" x14ac:dyDescent="0.25">
      <c r="A54" s="17">
        <v>5.6</v>
      </c>
      <c r="B54" s="153" t="s">
        <v>66</v>
      </c>
      <c r="C54" s="153"/>
      <c r="D54" s="153"/>
      <c r="E54" s="163"/>
      <c r="F54" s="107">
        <v>0</v>
      </c>
      <c r="G54" s="33"/>
      <c r="H54" s="48"/>
      <c r="I54" s="48"/>
      <c r="J54" s="49"/>
      <c r="K54" s="40"/>
      <c r="S54" s="3">
        <v>1</v>
      </c>
    </row>
    <row r="55" spans="1:19" ht="20.100000000000001" customHeight="1" x14ac:dyDescent="0.25">
      <c r="A55" s="17">
        <v>5.7</v>
      </c>
      <c r="B55" s="153" t="s">
        <v>67</v>
      </c>
      <c r="C55" s="153"/>
      <c r="D55" s="153"/>
      <c r="E55" s="163"/>
      <c r="F55" s="107">
        <v>0</v>
      </c>
      <c r="G55" s="33"/>
      <c r="H55" s="48"/>
      <c r="I55" s="48"/>
      <c r="J55" s="49"/>
      <c r="K55" s="40"/>
      <c r="S55" s="3">
        <v>1</v>
      </c>
    </row>
    <row r="56" spans="1:19" ht="20.100000000000001" customHeight="1" x14ac:dyDescent="0.25">
      <c r="A56" s="17">
        <v>5.8</v>
      </c>
      <c r="B56" s="153" t="s">
        <v>68</v>
      </c>
      <c r="C56" s="153"/>
      <c r="D56" s="153"/>
      <c r="E56" s="163"/>
      <c r="F56" s="107">
        <v>0</v>
      </c>
      <c r="G56" s="33"/>
      <c r="H56" s="48"/>
      <c r="I56" s="48"/>
      <c r="J56" s="49"/>
      <c r="K56" s="40"/>
      <c r="S56" s="3">
        <v>1</v>
      </c>
    </row>
    <row r="57" spans="1:19" ht="20.100000000000001" customHeight="1" x14ac:dyDescent="0.25">
      <c r="A57" s="17">
        <v>5.9</v>
      </c>
      <c r="B57" s="153" t="s">
        <v>69</v>
      </c>
      <c r="C57" s="153"/>
      <c r="D57" s="153"/>
      <c r="E57" s="163"/>
      <c r="F57" s="107">
        <v>0</v>
      </c>
      <c r="G57" s="33"/>
      <c r="H57" s="48"/>
      <c r="I57" s="48"/>
      <c r="J57" s="49"/>
      <c r="K57" s="40"/>
      <c r="S57" s="3">
        <v>1</v>
      </c>
    </row>
    <row r="58" spans="1:19" ht="20.100000000000001" customHeight="1" x14ac:dyDescent="0.25">
      <c r="A58" s="17" t="s">
        <v>70</v>
      </c>
      <c r="B58" s="153" t="s">
        <v>71</v>
      </c>
      <c r="C58" s="153"/>
      <c r="D58" s="153"/>
      <c r="E58" s="163"/>
      <c r="F58" s="107">
        <v>0</v>
      </c>
      <c r="G58" s="33"/>
      <c r="H58" s="48"/>
      <c r="I58" s="48"/>
      <c r="J58" s="49"/>
      <c r="K58" s="40"/>
      <c r="S58" s="3">
        <v>1</v>
      </c>
    </row>
    <row r="59" spans="1:19" ht="20.100000000000001" customHeight="1" x14ac:dyDescent="0.25">
      <c r="A59" s="17" t="s">
        <v>72</v>
      </c>
      <c r="B59" s="153" t="s">
        <v>73</v>
      </c>
      <c r="C59" s="153"/>
      <c r="D59" s="153"/>
      <c r="E59" s="163"/>
      <c r="F59" s="107">
        <v>0</v>
      </c>
      <c r="G59" s="33"/>
      <c r="H59" s="48"/>
      <c r="I59" s="48"/>
      <c r="J59" s="49"/>
      <c r="K59" s="40"/>
      <c r="S59" s="3">
        <v>1</v>
      </c>
    </row>
    <row r="60" spans="1:19" ht="20.100000000000001" customHeight="1" x14ac:dyDescent="0.25">
      <c r="A60" s="17" t="s">
        <v>74</v>
      </c>
      <c r="B60" s="153" t="s">
        <v>75</v>
      </c>
      <c r="C60" s="153"/>
      <c r="D60" s="153"/>
      <c r="E60" s="153"/>
      <c r="F60" s="36">
        <f>SUM(F61:F63)</f>
        <v>0</v>
      </c>
      <c r="G60" s="33"/>
      <c r="H60" s="48"/>
      <c r="I60" s="48"/>
      <c r="J60" s="49"/>
      <c r="K60" s="40"/>
      <c r="S60" s="3">
        <v>1</v>
      </c>
    </row>
    <row r="61" spans="1:19" ht="20.100000000000001" customHeight="1" x14ac:dyDescent="0.25">
      <c r="A61" s="17" t="s">
        <v>76</v>
      </c>
      <c r="B61" s="153" t="s">
        <v>77</v>
      </c>
      <c r="C61" s="153"/>
      <c r="D61" s="153"/>
      <c r="E61" s="153"/>
      <c r="F61" s="107">
        <v>0</v>
      </c>
      <c r="G61" s="33"/>
      <c r="H61" s="48"/>
      <c r="I61" s="48"/>
      <c r="J61" s="49"/>
      <c r="K61" s="40"/>
      <c r="S61" s="3">
        <v>1</v>
      </c>
    </row>
    <row r="62" spans="1:19" ht="20.100000000000001" customHeight="1" x14ac:dyDescent="0.25">
      <c r="A62" s="17" t="s">
        <v>78</v>
      </c>
      <c r="B62" s="153" t="s">
        <v>79</v>
      </c>
      <c r="C62" s="153"/>
      <c r="D62" s="153"/>
      <c r="E62" s="153"/>
      <c r="F62" s="107">
        <v>0</v>
      </c>
      <c r="G62" s="33"/>
      <c r="H62" s="48"/>
      <c r="I62" s="48"/>
      <c r="J62" s="49"/>
      <c r="K62" s="40"/>
      <c r="S62" s="3">
        <v>1</v>
      </c>
    </row>
    <row r="63" spans="1:19" ht="20.100000000000001" customHeight="1" x14ac:dyDescent="0.25">
      <c r="A63" s="17" t="s">
        <v>80</v>
      </c>
      <c r="B63" s="153" t="s">
        <v>81</v>
      </c>
      <c r="C63" s="153"/>
      <c r="D63" s="153"/>
      <c r="E63" s="153"/>
      <c r="F63" s="107">
        <v>0</v>
      </c>
      <c r="G63" s="33"/>
      <c r="H63" s="48"/>
      <c r="I63" s="48"/>
      <c r="J63" s="49"/>
      <c r="K63" s="40"/>
      <c r="S63" s="3">
        <v>1</v>
      </c>
    </row>
    <row r="64" spans="1:19" ht="20.100000000000001" customHeight="1" x14ac:dyDescent="0.25">
      <c r="A64" s="17">
        <v>5.13</v>
      </c>
      <c r="B64" s="153" t="s">
        <v>82</v>
      </c>
      <c r="C64" s="153"/>
      <c r="D64" s="153"/>
      <c r="E64" s="153"/>
      <c r="F64" s="107">
        <v>0</v>
      </c>
      <c r="G64" s="33"/>
      <c r="H64" s="48"/>
      <c r="I64" s="48"/>
      <c r="J64" s="49"/>
      <c r="K64" s="40"/>
      <c r="S64" s="3">
        <v>1</v>
      </c>
    </row>
    <row r="65" spans="1:19" ht="25.5" customHeight="1" thickBot="1" x14ac:dyDescent="0.3">
      <c r="A65" s="154" t="s">
        <v>83</v>
      </c>
      <c r="B65" s="155"/>
      <c r="C65" s="155"/>
      <c r="D65" s="155"/>
      <c r="E65" s="156"/>
      <c r="F65" s="29">
        <f>SUM(F49:F64)-F60</f>
        <v>0</v>
      </c>
      <c r="G65" s="43"/>
      <c r="H65" s="44"/>
      <c r="I65" s="44"/>
      <c r="J65" s="45"/>
      <c r="K65" s="40"/>
      <c r="S65" s="3">
        <v>1</v>
      </c>
    </row>
    <row r="66" spans="1:19" ht="30.75" customHeight="1" x14ac:dyDescent="0.25">
      <c r="A66" s="108" t="s">
        <v>84</v>
      </c>
      <c r="B66" s="109"/>
      <c r="C66" s="109"/>
      <c r="D66" s="109"/>
      <c r="E66" s="109"/>
      <c r="F66" s="109"/>
      <c r="G66" s="109"/>
      <c r="H66" s="109"/>
      <c r="I66" s="109"/>
      <c r="J66" s="121"/>
      <c r="S66" s="3">
        <v>1</v>
      </c>
    </row>
    <row r="67" spans="1:19" s="55" customFormat="1" ht="28.35" customHeight="1" x14ac:dyDescent="0.25">
      <c r="A67" s="157" t="s">
        <v>85</v>
      </c>
      <c r="B67" s="158"/>
      <c r="C67" s="158"/>
      <c r="D67" s="159"/>
      <c r="E67" s="128" t="s">
        <v>86</v>
      </c>
      <c r="F67" s="160"/>
      <c r="G67" s="160"/>
      <c r="H67" s="129"/>
      <c r="I67" s="161" t="s">
        <v>87</v>
      </c>
      <c r="J67" s="162"/>
      <c r="S67" s="3">
        <v>1</v>
      </c>
    </row>
    <row r="68" spans="1:19" s="58" customFormat="1" ht="25.5" x14ac:dyDescent="0.25">
      <c r="A68" s="151" t="s">
        <v>88</v>
      </c>
      <c r="B68" s="152"/>
      <c r="C68" s="152" t="s">
        <v>89</v>
      </c>
      <c r="D68" s="152"/>
      <c r="E68" s="56" t="s">
        <v>90</v>
      </c>
      <c r="F68" s="152" t="s">
        <v>91</v>
      </c>
      <c r="G68" s="152"/>
      <c r="H68" s="152"/>
      <c r="I68" s="56" t="s">
        <v>206</v>
      </c>
      <c r="J68" s="57" t="s">
        <v>93</v>
      </c>
      <c r="S68" s="3">
        <v>1</v>
      </c>
    </row>
    <row r="69" spans="1:19" s="58" customFormat="1" ht="36" customHeight="1" x14ac:dyDescent="0.25">
      <c r="A69" s="144" t="s">
        <v>207</v>
      </c>
      <c r="B69" s="145"/>
      <c r="C69" s="146"/>
      <c r="D69" s="145"/>
      <c r="E69" s="59" t="s">
        <v>208</v>
      </c>
      <c r="F69" s="147"/>
      <c r="G69" s="147"/>
      <c r="H69" s="147"/>
      <c r="I69" s="60"/>
      <c r="J69" s="61"/>
      <c r="S69" s="3">
        <v>1</v>
      </c>
    </row>
    <row r="70" spans="1:19" s="58" customFormat="1" ht="36" customHeight="1" x14ac:dyDescent="0.25">
      <c r="A70" s="144"/>
      <c r="B70" s="145"/>
      <c r="C70" s="146"/>
      <c r="D70" s="145"/>
      <c r="E70" s="59"/>
      <c r="F70" s="147"/>
      <c r="G70" s="147"/>
      <c r="H70" s="147"/>
      <c r="I70" s="60"/>
      <c r="J70" s="61"/>
      <c r="S70" s="3">
        <v>1</v>
      </c>
    </row>
    <row r="71" spans="1:19" s="58" customFormat="1" ht="36" customHeight="1" thickBot="1" x14ac:dyDescent="0.3">
      <c r="A71" s="144"/>
      <c r="B71" s="145"/>
      <c r="C71" s="148"/>
      <c r="D71" s="149"/>
      <c r="E71" s="59"/>
      <c r="F71" s="150"/>
      <c r="G71" s="150"/>
      <c r="H71" s="150"/>
      <c r="I71" s="63"/>
      <c r="J71" s="64"/>
      <c r="S71" s="3">
        <v>1</v>
      </c>
    </row>
    <row r="72" spans="1:19" ht="27.75" customHeight="1" x14ac:dyDescent="0.25">
      <c r="A72" s="108" t="s">
        <v>94</v>
      </c>
      <c r="B72" s="109"/>
      <c r="C72" s="109"/>
      <c r="D72" s="109"/>
      <c r="E72" s="109"/>
      <c r="F72" s="109"/>
      <c r="G72" s="109"/>
      <c r="H72" s="109"/>
      <c r="I72" s="109"/>
      <c r="J72" s="121"/>
      <c r="S72" s="3">
        <v>1</v>
      </c>
    </row>
    <row r="73" spans="1:19" s="58" customFormat="1" ht="43.5" customHeight="1" x14ac:dyDescent="0.25">
      <c r="A73" s="122" t="s">
        <v>95</v>
      </c>
      <c r="B73" s="123"/>
      <c r="C73" s="124"/>
      <c r="D73" s="56" t="s">
        <v>96</v>
      </c>
      <c r="E73" s="19" t="s">
        <v>97</v>
      </c>
      <c r="F73" s="19" t="s">
        <v>98</v>
      </c>
      <c r="G73" s="128" t="s">
        <v>99</v>
      </c>
      <c r="H73" s="129"/>
      <c r="I73" s="56" t="s">
        <v>100</v>
      </c>
      <c r="J73" s="130"/>
      <c r="S73" s="3">
        <v>1</v>
      </c>
    </row>
    <row r="74" spans="1:19" s="58" customFormat="1" ht="24.95" customHeight="1" x14ac:dyDescent="0.25">
      <c r="A74" s="125"/>
      <c r="B74" s="126"/>
      <c r="C74" s="127"/>
      <c r="D74" s="65">
        <v>0</v>
      </c>
      <c r="E74" s="65">
        <v>0</v>
      </c>
      <c r="F74" s="65">
        <v>0</v>
      </c>
      <c r="G74" s="132">
        <v>0</v>
      </c>
      <c r="H74" s="133"/>
      <c r="I74" s="66">
        <f>SUM(D74:H74)</f>
        <v>0</v>
      </c>
      <c r="J74" s="130"/>
      <c r="S74" s="3">
        <v>1</v>
      </c>
    </row>
    <row r="75" spans="1:19" s="58" customFormat="1" ht="24" customHeight="1" x14ac:dyDescent="0.25">
      <c r="A75" s="134" t="s">
        <v>101</v>
      </c>
      <c r="B75" s="135"/>
      <c r="C75" s="136"/>
      <c r="D75" s="67" t="s">
        <v>102</v>
      </c>
      <c r="E75" s="67" t="s">
        <v>103</v>
      </c>
      <c r="F75" s="68"/>
      <c r="G75" s="140"/>
      <c r="H75" s="141"/>
      <c r="I75" s="68"/>
      <c r="J75" s="130"/>
      <c r="S75" s="3">
        <v>1</v>
      </c>
    </row>
    <row r="76" spans="1:19" s="58" customFormat="1" ht="24.95" customHeight="1" thickBot="1" x14ac:dyDescent="0.3">
      <c r="A76" s="137"/>
      <c r="B76" s="138"/>
      <c r="C76" s="139"/>
      <c r="D76" s="69">
        <v>0</v>
      </c>
      <c r="E76" s="69">
        <v>0</v>
      </c>
      <c r="F76" s="69"/>
      <c r="G76" s="142"/>
      <c r="H76" s="143"/>
      <c r="I76" s="70">
        <f>SUM(D76:H76)</f>
        <v>0</v>
      </c>
      <c r="J76" s="131"/>
      <c r="S76" s="3">
        <v>1</v>
      </c>
    </row>
    <row r="77" spans="1:19" ht="30" customHeight="1" thickBot="1" x14ac:dyDescent="0.3">
      <c r="A77" s="209" t="s">
        <v>104</v>
      </c>
      <c r="B77" s="210"/>
      <c r="C77" s="210"/>
      <c r="D77" s="210"/>
      <c r="E77" s="210"/>
      <c r="F77" s="210"/>
      <c r="G77" s="210"/>
      <c r="H77" s="210"/>
      <c r="I77" s="210"/>
      <c r="J77" s="211"/>
      <c r="S77" s="3">
        <v>1</v>
      </c>
    </row>
    <row r="78" spans="1:19" ht="152.25" customHeight="1" x14ac:dyDescent="0.25">
      <c r="A78" s="212"/>
      <c r="B78" s="213"/>
      <c r="C78" s="213"/>
      <c r="D78" s="214"/>
      <c r="E78" s="214"/>
      <c r="F78" s="214"/>
      <c r="G78" s="215"/>
      <c r="H78" s="213"/>
      <c r="I78" s="216"/>
      <c r="J78" s="217"/>
      <c r="S78" s="3">
        <v>1</v>
      </c>
    </row>
    <row r="79" spans="1:19" ht="24" customHeight="1" thickBot="1" x14ac:dyDescent="0.3">
      <c r="A79" s="114"/>
      <c r="B79" s="115"/>
      <c r="C79" s="115"/>
      <c r="D79" s="116"/>
      <c r="E79" s="218"/>
      <c r="F79" s="219"/>
      <c r="G79" s="218"/>
      <c r="H79" s="220"/>
      <c r="I79" s="221"/>
      <c r="J79" s="222"/>
      <c r="S79" s="3">
        <v>1</v>
      </c>
    </row>
  </sheetData>
  <mergeCells count="131">
    <mergeCell ref="A4:C4"/>
    <mergeCell ref="D4:E4"/>
    <mergeCell ref="F4:F5"/>
    <mergeCell ref="G4:J4"/>
    <mergeCell ref="A5:C5"/>
    <mergeCell ref="D5:E5"/>
    <mergeCell ref="G5:J5"/>
    <mergeCell ref="D1:H1"/>
    <mergeCell ref="I1:J1"/>
    <mergeCell ref="A2:C2"/>
    <mergeCell ref="D2:E2"/>
    <mergeCell ref="G2:H2"/>
    <mergeCell ref="A3:C3"/>
    <mergeCell ref="D3:E3"/>
    <mergeCell ref="G3:H3"/>
    <mergeCell ref="A9:C9"/>
    <mergeCell ref="D9:E9"/>
    <mergeCell ref="F9:G9"/>
    <mergeCell ref="H9:I9"/>
    <mergeCell ref="A10:C10"/>
    <mergeCell ref="D10:E10"/>
    <mergeCell ref="F10:G10"/>
    <mergeCell ref="H10:I10"/>
    <mergeCell ref="A6:C6"/>
    <mergeCell ref="D6:J6"/>
    <mergeCell ref="A7:J7"/>
    <mergeCell ref="A8:C8"/>
    <mergeCell ref="D8:E8"/>
    <mergeCell ref="F8:G8"/>
    <mergeCell ref="H8:I8"/>
    <mergeCell ref="A13:C13"/>
    <mergeCell ref="D13:E13"/>
    <mergeCell ref="F13:G13"/>
    <mergeCell ref="H13:I13"/>
    <mergeCell ref="A14:C14"/>
    <mergeCell ref="D14:E14"/>
    <mergeCell ref="F14:G14"/>
    <mergeCell ref="H14:I14"/>
    <mergeCell ref="A11:C11"/>
    <mergeCell ref="D11:E11"/>
    <mergeCell ref="F11:G11"/>
    <mergeCell ref="H11:I11"/>
    <mergeCell ref="A12:C12"/>
    <mergeCell ref="D12:E12"/>
    <mergeCell ref="F12:G12"/>
    <mergeCell ref="H12:I12"/>
    <mergeCell ref="H17:I17"/>
    <mergeCell ref="A18:J18"/>
    <mergeCell ref="A19:C19"/>
    <mergeCell ref="H19:J40"/>
    <mergeCell ref="B20:C20"/>
    <mergeCell ref="B21:C21"/>
    <mergeCell ref="B22:C22"/>
    <mergeCell ref="A15:C15"/>
    <mergeCell ref="D15:E15"/>
    <mergeCell ref="F15:G15"/>
    <mergeCell ref="H15:I15"/>
    <mergeCell ref="A16:C16"/>
    <mergeCell ref="D16:E16"/>
    <mergeCell ref="F16:G16"/>
    <mergeCell ref="H16:I16"/>
    <mergeCell ref="A23:E23"/>
    <mergeCell ref="B24:E24"/>
    <mergeCell ref="A37:E37"/>
    <mergeCell ref="B38:E38"/>
    <mergeCell ref="B39:E39"/>
    <mergeCell ref="B40:E40"/>
    <mergeCell ref="A17:C17"/>
    <mergeCell ref="D17:E17"/>
    <mergeCell ref="F17:G17"/>
    <mergeCell ref="B45:E45"/>
    <mergeCell ref="B46:E46"/>
    <mergeCell ref="B47:E47"/>
    <mergeCell ref="A48:E48"/>
    <mergeCell ref="G48:J48"/>
    <mergeCell ref="B49:E49"/>
    <mergeCell ref="A41:E41"/>
    <mergeCell ref="G41:J41"/>
    <mergeCell ref="B42:E42"/>
    <mergeCell ref="B43:E43"/>
    <mergeCell ref="A44:E44"/>
    <mergeCell ref="G44:J44"/>
    <mergeCell ref="B56:E56"/>
    <mergeCell ref="B57:E57"/>
    <mergeCell ref="B58:E58"/>
    <mergeCell ref="B59:E59"/>
    <mergeCell ref="B60:E60"/>
    <mergeCell ref="B61:E61"/>
    <mergeCell ref="B50:E50"/>
    <mergeCell ref="B51:E51"/>
    <mergeCell ref="B52:E52"/>
    <mergeCell ref="B53:E53"/>
    <mergeCell ref="B54:E54"/>
    <mergeCell ref="B55:E55"/>
    <mergeCell ref="A68:B68"/>
    <mergeCell ref="C68:D68"/>
    <mergeCell ref="F68:H68"/>
    <mergeCell ref="A69:B69"/>
    <mergeCell ref="C69:D69"/>
    <mergeCell ref="F69:H69"/>
    <mergeCell ref="B62:E62"/>
    <mergeCell ref="B63:E63"/>
    <mergeCell ref="B64:E64"/>
    <mergeCell ref="A65:E65"/>
    <mergeCell ref="A66:J66"/>
    <mergeCell ref="A67:D67"/>
    <mergeCell ref="E67:H67"/>
    <mergeCell ref="I67:J67"/>
    <mergeCell ref="A72:J72"/>
    <mergeCell ref="A73:C74"/>
    <mergeCell ref="G73:H73"/>
    <mergeCell ref="J73:J76"/>
    <mergeCell ref="G74:H74"/>
    <mergeCell ref="A75:C76"/>
    <mergeCell ref="G75:H75"/>
    <mergeCell ref="G76:H76"/>
    <mergeCell ref="A70:B70"/>
    <mergeCell ref="C70:D70"/>
    <mergeCell ref="F70:H70"/>
    <mergeCell ref="A71:B71"/>
    <mergeCell ref="C71:D71"/>
    <mergeCell ref="F71:H71"/>
    <mergeCell ref="A77:J77"/>
    <mergeCell ref="A78:D78"/>
    <mergeCell ref="E78:F78"/>
    <mergeCell ref="G78:H78"/>
    <mergeCell ref="I78:J78"/>
    <mergeCell ref="A79:D79"/>
    <mergeCell ref="E79:F79"/>
    <mergeCell ref="G79:H79"/>
    <mergeCell ref="I79:J79"/>
  </mergeCells>
  <dataValidations count="3">
    <dataValidation type="list" allowBlank="1" showInputMessage="1" showErrorMessage="1" sqref="I69:I71" xr:uid="{4A17EFF0-4EC7-4779-8A9A-26629F6356C3}">
      <formula1>"Abierta,Cerrada"</formula1>
    </dataValidation>
    <dataValidation type="list" allowBlank="1" showInputMessage="1" showErrorMessage="1" sqref="A69:B71" xr:uid="{CDE00066-C6E9-4A1A-B6D5-8AEBC8BFFC3C}">
      <formula1>"AV,CI"</formula1>
    </dataValidation>
    <dataValidation type="list" allowBlank="1" showInputMessage="1" showErrorMessage="1" sqref="E69:E71" xr:uid="{A487F22A-D434-4532-84A5-5B88DB067473}">
      <formula1>"Correctiva,Preventiva, Mejora"</formula1>
    </dataValidation>
  </dataValidations>
  <printOptions horizontalCentered="1" verticalCentered="1"/>
  <pageMargins left="0.11811023622047245" right="0.19685039370078741" top="0.15748031496062992" bottom="0.15748031496062992" header="0.31496062992125984" footer="0.31496062992125984"/>
  <pageSetup paperSize="9" scale="60" fitToHeight="2" orientation="portrait" horizontalDpi="360" verticalDpi="360" r:id="rId1"/>
  <rowBreaks count="1" manualBreakCount="1">
    <brk id="40" max="9"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76DD0877-F66D-4AD0-8FEB-602E2BE42CE3}">
          <x14:formula1>
            <xm:f>Trabajadores!$B$2:$B$165</xm:f>
          </x14:formula1>
          <xm:sqref>A8 D8 F8 H8 J8 A9 D9 F9 H9 J9 A10 D10 F10 H10 J10 A11 D11 F11 H11 J11 A12 D12 F12 H12 J12 A13 D13 F13 H13 J13 A14 D14 F14 H14 J14 A15 D15 F15 H15 J15 A16 D16 F16 H16 J16 A17 D17 F17 H17 J17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32A85-DC77-4575-91C7-7A06E6E6B134}">
  <sheetPr codeName="Hoja20"/>
  <dimension ref="A1:S79"/>
  <sheetViews>
    <sheetView showGridLines="0" tabSelected="1" zoomScaleNormal="100" zoomScaleSheetLayoutView="100" workbookViewId="0">
      <pane ySplit="1" topLeftCell="A65" activePane="bottomLeft" state="frozen"/>
      <selection pane="bottomLeft" activeCell="D75" sqref="D75:E75"/>
    </sheetView>
  </sheetViews>
  <sheetFormatPr baseColWidth="10" defaultColWidth="9.42578125" defaultRowHeight="15" x14ac:dyDescent="0.25"/>
  <cols>
    <col min="1" max="1" width="5.85546875" customWidth="1"/>
    <col min="2" max="2" width="11.140625" customWidth="1"/>
    <col min="3" max="3" width="9.42578125" customWidth="1"/>
    <col min="4" max="4" width="10.7109375" customWidth="1"/>
    <col min="5" max="5" width="18.140625" customWidth="1"/>
    <col min="6" max="6" width="15.28515625" customWidth="1"/>
    <col min="7" max="7" width="12.140625" customWidth="1"/>
    <col min="8" max="8" width="22.85546875" customWidth="1"/>
    <col min="9" max="9" width="12.7109375" customWidth="1"/>
    <col min="10" max="10" width="25.140625" customWidth="1"/>
    <col min="11" max="11" width="2.42578125" customWidth="1"/>
    <col min="19" max="19" width="9.42578125" style="3"/>
  </cols>
  <sheetData>
    <row r="1" spans="1:19" ht="63.6" customHeight="1" thickBot="1" x14ac:dyDescent="0.3">
      <c r="A1" s="81"/>
      <c r="B1" s="82"/>
      <c r="C1" s="82"/>
      <c r="D1" s="256" t="s">
        <v>189</v>
      </c>
      <c r="E1" s="256"/>
      <c r="F1" s="256"/>
      <c r="G1" s="256"/>
      <c r="H1" s="257"/>
      <c r="I1" s="258" t="s">
        <v>1</v>
      </c>
      <c r="J1" s="259"/>
    </row>
    <row r="2" spans="1:19" ht="28.35" customHeight="1" x14ac:dyDescent="0.25">
      <c r="A2" s="260" t="s">
        <v>190</v>
      </c>
      <c r="B2" s="261"/>
      <c r="C2" s="261"/>
      <c r="D2" s="262" t="s">
        <v>3</v>
      </c>
      <c r="E2" s="263"/>
      <c r="F2" s="83" t="s">
        <v>191</v>
      </c>
      <c r="G2" s="264">
        <v>45435</v>
      </c>
      <c r="H2" s="265"/>
      <c r="I2" s="84" t="s">
        <v>5</v>
      </c>
      <c r="J2" s="85">
        <v>0</v>
      </c>
      <c r="S2" s="3">
        <v>1</v>
      </c>
    </row>
    <row r="3" spans="1:19" ht="28.35" customHeight="1" x14ac:dyDescent="0.25">
      <c r="A3" s="246" t="s">
        <v>192</v>
      </c>
      <c r="B3" s="247"/>
      <c r="C3" s="247"/>
      <c r="D3" s="266" t="s">
        <v>211</v>
      </c>
      <c r="E3" s="267"/>
      <c r="F3" s="86" t="s">
        <v>193</v>
      </c>
      <c r="G3" s="268"/>
      <c r="H3" s="269"/>
      <c r="I3" s="86" t="s">
        <v>194</v>
      </c>
      <c r="J3" s="87"/>
      <c r="S3" s="3">
        <v>1</v>
      </c>
    </row>
    <row r="4" spans="1:19" ht="24.95" customHeight="1" x14ac:dyDescent="0.25">
      <c r="A4" s="246" t="s">
        <v>195</v>
      </c>
      <c r="B4" s="247"/>
      <c r="C4" s="247"/>
      <c r="D4" s="248" t="s">
        <v>9</v>
      </c>
      <c r="E4" s="248"/>
      <c r="F4" s="249" t="s">
        <v>196</v>
      </c>
      <c r="G4" s="251" t="s">
        <v>17</v>
      </c>
      <c r="H4" s="252"/>
      <c r="I4" s="252"/>
      <c r="J4" s="253"/>
      <c r="S4" s="3">
        <v>1</v>
      </c>
    </row>
    <row r="5" spans="1:19" ht="24.95" customHeight="1" x14ac:dyDescent="0.25">
      <c r="A5" s="246" t="s">
        <v>197</v>
      </c>
      <c r="B5" s="247"/>
      <c r="C5" s="247"/>
      <c r="D5" s="254" t="s">
        <v>212</v>
      </c>
      <c r="E5" s="255"/>
      <c r="F5" s="250"/>
      <c r="G5" s="251" t="s">
        <v>15</v>
      </c>
      <c r="H5" s="252"/>
      <c r="I5" s="252"/>
      <c r="J5" s="253"/>
      <c r="S5" s="3">
        <v>1</v>
      </c>
    </row>
    <row r="6" spans="1:19" ht="42.75" customHeight="1" thickBot="1" x14ac:dyDescent="0.3">
      <c r="A6" s="237" t="s">
        <v>198</v>
      </c>
      <c r="B6" s="238"/>
      <c r="C6" s="238"/>
      <c r="D6" s="239"/>
      <c r="E6" s="240"/>
      <c r="F6" s="240"/>
      <c r="G6" s="240"/>
      <c r="H6" s="240"/>
      <c r="I6" s="240"/>
      <c r="J6" s="241"/>
      <c r="S6" s="3">
        <v>1</v>
      </c>
    </row>
    <row r="7" spans="1:19" ht="26.25" customHeight="1" x14ac:dyDescent="0.25">
      <c r="A7" s="242" t="s">
        <v>199</v>
      </c>
      <c r="B7" s="243"/>
      <c r="C7" s="243"/>
      <c r="D7" s="244"/>
      <c r="E7" s="244"/>
      <c r="F7" s="244"/>
      <c r="G7" s="244"/>
      <c r="H7" s="244"/>
      <c r="I7" s="244"/>
      <c r="J7" s="245"/>
      <c r="S7" s="3">
        <v>1</v>
      </c>
    </row>
    <row r="8" spans="1:19" s="16" customFormat="1" ht="21" customHeight="1" x14ac:dyDescent="0.25">
      <c r="A8" s="230"/>
      <c r="B8" s="230"/>
      <c r="C8" s="230"/>
      <c r="D8" s="231"/>
      <c r="E8" s="231"/>
      <c r="F8" s="230"/>
      <c r="G8" s="230"/>
      <c r="H8" s="230"/>
      <c r="I8" s="230"/>
      <c r="J8" s="88"/>
      <c r="S8" s="3">
        <v>1</v>
      </c>
    </row>
    <row r="9" spans="1:19" s="16" customFormat="1" ht="21" customHeight="1" x14ac:dyDescent="0.25">
      <c r="A9" s="232"/>
      <c r="B9" s="233"/>
      <c r="C9" s="234"/>
      <c r="D9" s="235"/>
      <c r="E9" s="236"/>
      <c r="F9" s="232"/>
      <c r="G9" s="234"/>
      <c r="H9" s="232"/>
      <c r="I9" s="234"/>
      <c r="J9" s="88"/>
      <c r="S9" s="3">
        <v>1</v>
      </c>
    </row>
    <row r="10" spans="1:19" s="16" customFormat="1" ht="21" customHeight="1" x14ac:dyDescent="0.25">
      <c r="A10" s="232"/>
      <c r="B10" s="233"/>
      <c r="C10" s="234"/>
      <c r="D10" s="235"/>
      <c r="E10" s="236"/>
      <c r="F10" s="232"/>
      <c r="G10" s="234"/>
      <c r="H10" s="232"/>
      <c r="I10" s="234"/>
      <c r="J10" s="88"/>
      <c r="S10" s="3">
        <v>1</v>
      </c>
    </row>
    <row r="11" spans="1:19" s="16" customFormat="1" ht="21" customHeight="1" x14ac:dyDescent="0.25">
      <c r="A11" s="232"/>
      <c r="B11" s="233"/>
      <c r="C11" s="234"/>
      <c r="D11" s="235"/>
      <c r="E11" s="236"/>
      <c r="F11" s="232"/>
      <c r="G11" s="234"/>
      <c r="H11" s="232"/>
      <c r="I11" s="234"/>
      <c r="J11" s="88"/>
      <c r="S11" s="3">
        <v>1</v>
      </c>
    </row>
    <row r="12" spans="1:19" s="16" customFormat="1" ht="21" customHeight="1" x14ac:dyDescent="0.25">
      <c r="A12" s="230"/>
      <c r="B12" s="230"/>
      <c r="C12" s="230"/>
      <c r="D12" s="231"/>
      <c r="E12" s="231"/>
      <c r="F12" s="230"/>
      <c r="G12" s="230"/>
      <c r="H12" s="230"/>
      <c r="I12" s="230"/>
      <c r="J12" s="88"/>
      <c r="S12" s="3">
        <v>1</v>
      </c>
    </row>
    <row r="13" spans="1:19" s="16" customFormat="1" ht="21" customHeight="1" x14ac:dyDescent="0.25">
      <c r="A13" s="230"/>
      <c r="B13" s="230"/>
      <c r="C13" s="230"/>
      <c r="D13" s="231"/>
      <c r="E13" s="231"/>
      <c r="F13" s="230"/>
      <c r="G13" s="230"/>
      <c r="H13" s="230"/>
      <c r="I13" s="230"/>
      <c r="J13" s="88"/>
      <c r="S13" s="3">
        <v>1</v>
      </c>
    </row>
    <row r="14" spans="1:19" s="16" customFormat="1" ht="21" customHeight="1" x14ac:dyDescent="0.25">
      <c r="A14" s="230"/>
      <c r="B14" s="230"/>
      <c r="C14" s="230"/>
      <c r="D14" s="231"/>
      <c r="E14" s="231"/>
      <c r="F14" s="230"/>
      <c r="G14" s="230"/>
      <c r="H14" s="230"/>
      <c r="I14" s="230"/>
      <c r="J14" s="88"/>
      <c r="S14" s="3">
        <v>1</v>
      </c>
    </row>
    <row r="15" spans="1:19" s="16" customFormat="1" ht="21" customHeight="1" x14ac:dyDescent="0.25">
      <c r="A15" s="230"/>
      <c r="B15" s="230"/>
      <c r="C15" s="230"/>
      <c r="D15" s="231"/>
      <c r="E15" s="231"/>
      <c r="F15" s="230"/>
      <c r="G15" s="230"/>
      <c r="H15" s="230"/>
      <c r="I15" s="230"/>
      <c r="J15" s="88"/>
      <c r="S15" s="3">
        <v>1</v>
      </c>
    </row>
    <row r="16" spans="1:19" s="16" customFormat="1" ht="21" customHeight="1" x14ac:dyDescent="0.25">
      <c r="A16" s="230"/>
      <c r="B16" s="230"/>
      <c r="C16" s="230"/>
      <c r="D16" s="231"/>
      <c r="E16" s="231"/>
      <c r="F16" s="230"/>
      <c r="G16" s="230"/>
      <c r="H16" s="230"/>
      <c r="I16" s="230"/>
      <c r="J16" s="88"/>
      <c r="S16" s="3">
        <v>1</v>
      </c>
    </row>
    <row r="17" spans="1:19" s="16" customFormat="1" ht="21" customHeight="1" x14ac:dyDescent="0.25">
      <c r="A17" s="230"/>
      <c r="B17" s="230"/>
      <c r="C17" s="230"/>
      <c r="D17" s="231"/>
      <c r="E17" s="231"/>
      <c r="F17" s="230"/>
      <c r="G17" s="230"/>
      <c r="H17" s="230"/>
      <c r="I17" s="230"/>
      <c r="J17" s="88"/>
      <c r="S17" s="3">
        <v>1</v>
      </c>
    </row>
    <row r="18" spans="1:19" ht="27" customHeight="1" x14ac:dyDescent="0.25">
      <c r="A18" s="195" t="s">
        <v>18</v>
      </c>
      <c r="B18" s="196"/>
      <c r="C18" s="196"/>
      <c r="D18" s="197"/>
      <c r="E18" s="197"/>
      <c r="F18" s="197"/>
      <c r="G18" s="197"/>
      <c r="H18" s="197"/>
      <c r="I18" s="197"/>
      <c r="J18" s="198"/>
      <c r="S18" s="3">
        <v>1</v>
      </c>
    </row>
    <row r="19" spans="1:19" s="16" customFormat="1" ht="30.75" customHeight="1" x14ac:dyDescent="0.25">
      <c r="A19" s="172" t="s">
        <v>19</v>
      </c>
      <c r="B19" s="173"/>
      <c r="C19" s="174"/>
      <c r="D19" s="13" t="s">
        <v>20</v>
      </c>
      <c r="E19" s="13" t="s">
        <v>5</v>
      </c>
      <c r="F19" s="14" t="s">
        <v>21</v>
      </c>
      <c r="G19" s="15"/>
      <c r="H19" s="175"/>
      <c r="I19" s="175"/>
      <c r="J19" s="176"/>
      <c r="S19" s="3">
        <v>1</v>
      </c>
    </row>
    <row r="20" spans="1:19" s="16" customFormat="1" ht="30.6" customHeight="1" x14ac:dyDescent="0.25">
      <c r="A20" s="89" t="s">
        <v>22</v>
      </c>
      <c r="B20" s="179" t="s">
        <v>23</v>
      </c>
      <c r="C20" s="180"/>
      <c r="D20" s="90">
        <v>0</v>
      </c>
      <c r="E20" s="91">
        <v>0</v>
      </c>
      <c r="F20" s="92">
        <f>+(D20/60)*E20</f>
        <v>0</v>
      </c>
      <c r="G20" s="21"/>
      <c r="H20" s="177"/>
      <c r="I20" s="177"/>
      <c r="J20" s="178"/>
      <c r="S20" s="3">
        <v>1</v>
      </c>
    </row>
    <row r="21" spans="1:19" s="16" customFormat="1" ht="36.75" customHeight="1" x14ac:dyDescent="0.25">
      <c r="A21" s="89" t="s">
        <v>24</v>
      </c>
      <c r="B21" s="179" t="s">
        <v>25</v>
      </c>
      <c r="C21" s="180"/>
      <c r="D21" s="90">
        <v>0</v>
      </c>
      <c r="E21" s="91">
        <v>0</v>
      </c>
      <c r="F21" s="20">
        <f>(D21/60)*E21</f>
        <v>0</v>
      </c>
      <c r="G21" s="21"/>
      <c r="H21" s="177"/>
      <c r="I21" s="177"/>
      <c r="J21" s="178"/>
      <c r="S21" s="3">
        <v>1</v>
      </c>
    </row>
    <row r="22" spans="1:19" s="16" customFormat="1" ht="36.75" customHeight="1" x14ac:dyDescent="0.25">
      <c r="A22" s="89" t="s">
        <v>26</v>
      </c>
      <c r="B22" s="179" t="s">
        <v>27</v>
      </c>
      <c r="C22" s="180"/>
      <c r="D22" s="18">
        <v>0</v>
      </c>
      <c r="E22" s="19">
        <v>0</v>
      </c>
      <c r="F22" s="20">
        <f>(D22/60)*E22</f>
        <v>0</v>
      </c>
      <c r="G22" s="21"/>
      <c r="H22" s="177"/>
      <c r="I22" s="177"/>
      <c r="J22" s="178"/>
      <c r="S22" s="3">
        <v>1</v>
      </c>
    </row>
    <row r="23" spans="1:19" s="16" customFormat="1" ht="30" customHeight="1" x14ac:dyDescent="0.25">
      <c r="A23" s="172" t="s">
        <v>28</v>
      </c>
      <c r="B23" s="173"/>
      <c r="C23" s="173"/>
      <c r="D23" s="173"/>
      <c r="E23" s="181"/>
      <c r="F23" s="14" t="s">
        <v>29</v>
      </c>
      <c r="G23" s="22"/>
      <c r="H23" s="177"/>
      <c r="I23" s="177"/>
      <c r="J23" s="178"/>
      <c r="S23" s="3">
        <v>1</v>
      </c>
    </row>
    <row r="24" spans="1:19" s="16" customFormat="1" ht="20.100000000000001" customHeight="1" x14ac:dyDescent="0.25">
      <c r="A24" s="17">
        <v>2.1</v>
      </c>
      <c r="B24" s="153" t="s">
        <v>30</v>
      </c>
      <c r="C24" s="153"/>
      <c r="D24" s="153"/>
      <c r="E24" s="163"/>
      <c r="F24" s="93">
        <v>0</v>
      </c>
      <c r="G24" s="24"/>
      <c r="H24" s="177"/>
      <c r="I24" s="177"/>
      <c r="J24" s="178"/>
      <c r="S24" s="3">
        <v>1</v>
      </c>
    </row>
    <row r="25" spans="1:19" s="16" customFormat="1" ht="20.100000000000001" customHeight="1" x14ac:dyDescent="0.25">
      <c r="A25" s="17">
        <v>2.2000000000000002</v>
      </c>
      <c r="B25" s="25" t="s">
        <v>31</v>
      </c>
      <c r="C25" s="25"/>
      <c r="D25" s="25"/>
      <c r="E25" s="26"/>
      <c r="F25" s="93">
        <v>0</v>
      </c>
      <c r="G25" s="24"/>
      <c r="H25" s="177"/>
      <c r="I25" s="177"/>
      <c r="J25" s="178"/>
      <c r="S25" s="3">
        <v>1</v>
      </c>
    </row>
    <row r="26" spans="1:19" s="16" customFormat="1" ht="20.100000000000001" customHeight="1" x14ac:dyDescent="0.25">
      <c r="A26" s="17">
        <v>2.2999999999999998</v>
      </c>
      <c r="B26" s="25" t="s">
        <v>32</v>
      </c>
      <c r="C26" s="25"/>
      <c r="D26" s="25"/>
      <c r="E26" s="26"/>
      <c r="F26" s="94">
        <v>0</v>
      </c>
      <c r="G26" s="24"/>
      <c r="H26" s="177"/>
      <c r="I26" s="177"/>
      <c r="J26" s="178"/>
      <c r="S26" s="3">
        <v>1</v>
      </c>
    </row>
    <row r="27" spans="1:19" s="16" customFormat="1" ht="20.100000000000001" customHeight="1" x14ac:dyDescent="0.25">
      <c r="A27" s="17">
        <v>2.4</v>
      </c>
      <c r="B27" s="25" t="s">
        <v>33</v>
      </c>
      <c r="C27" s="25"/>
      <c r="D27" s="25"/>
      <c r="E27" s="26"/>
      <c r="F27" s="94">
        <v>0</v>
      </c>
      <c r="G27" s="24"/>
      <c r="H27" s="177"/>
      <c r="I27" s="177"/>
      <c r="J27" s="178"/>
      <c r="S27" s="3">
        <v>1</v>
      </c>
    </row>
    <row r="28" spans="1:19" s="16" customFormat="1" ht="20.100000000000001" customHeight="1" x14ac:dyDescent="0.25">
      <c r="A28" s="17">
        <v>2.5</v>
      </c>
      <c r="B28" s="25" t="s">
        <v>34</v>
      </c>
      <c r="C28" s="25"/>
      <c r="D28" s="25"/>
      <c r="E28" s="26"/>
      <c r="F28" s="94">
        <v>0</v>
      </c>
      <c r="G28" s="24"/>
      <c r="H28" s="177"/>
      <c r="I28" s="177"/>
      <c r="J28" s="178"/>
      <c r="S28" s="3">
        <v>1</v>
      </c>
    </row>
    <row r="29" spans="1:19" s="16" customFormat="1" ht="20.100000000000001" customHeight="1" x14ac:dyDescent="0.25">
      <c r="A29" s="17">
        <v>2.6</v>
      </c>
      <c r="B29" s="25" t="s">
        <v>35</v>
      </c>
      <c r="C29" s="25"/>
      <c r="D29" s="25"/>
      <c r="E29" s="26"/>
      <c r="F29" s="94">
        <v>0</v>
      </c>
      <c r="G29" s="24"/>
      <c r="H29" s="177"/>
      <c r="I29" s="177"/>
      <c r="J29" s="178"/>
      <c r="S29" s="3">
        <v>1</v>
      </c>
    </row>
    <row r="30" spans="1:19" s="16" customFormat="1" ht="20.100000000000001" customHeight="1" x14ac:dyDescent="0.25">
      <c r="A30" s="17">
        <v>2.7</v>
      </c>
      <c r="B30" s="25" t="s">
        <v>36</v>
      </c>
      <c r="C30" s="25"/>
      <c r="D30" s="25"/>
      <c r="E30" s="26"/>
      <c r="F30" s="94">
        <v>0</v>
      </c>
      <c r="G30" s="24"/>
      <c r="H30" s="177"/>
      <c r="I30" s="177"/>
      <c r="J30" s="178"/>
      <c r="S30" s="3">
        <v>1</v>
      </c>
    </row>
    <row r="31" spans="1:19" s="16" customFormat="1" ht="20.100000000000001" customHeight="1" x14ac:dyDescent="0.25">
      <c r="A31" s="17">
        <v>2.8</v>
      </c>
      <c r="B31" s="25" t="s">
        <v>37</v>
      </c>
      <c r="C31" s="25"/>
      <c r="D31" s="25"/>
      <c r="E31" s="26"/>
      <c r="F31" s="94">
        <v>0</v>
      </c>
      <c r="G31" s="24"/>
      <c r="H31" s="177"/>
      <c r="I31" s="177"/>
      <c r="J31" s="178"/>
      <c r="S31" s="3">
        <v>1</v>
      </c>
    </row>
    <row r="32" spans="1:19" s="16" customFormat="1" ht="20.100000000000001" customHeight="1" x14ac:dyDescent="0.25">
      <c r="A32" s="17">
        <v>2.9</v>
      </c>
      <c r="B32" s="25" t="s">
        <v>38</v>
      </c>
      <c r="C32" s="25"/>
      <c r="D32" s="25"/>
      <c r="E32" s="26"/>
      <c r="F32" s="94">
        <v>0</v>
      </c>
      <c r="G32" s="24"/>
      <c r="H32" s="177"/>
      <c r="I32" s="177"/>
      <c r="J32" s="178"/>
      <c r="S32" s="3">
        <v>1</v>
      </c>
    </row>
    <row r="33" spans="1:19" s="16" customFormat="1" ht="20.100000000000001" customHeight="1" x14ac:dyDescent="0.25">
      <c r="A33" s="28" t="s">
        <v>39</v>
      </c>
      <c r="B33" s="25" t="s">
        <v>40</v>
      </c>
      <c r="C33" s="25"/>
      <c r="D33" s="25"/>
      <c r="E33" s="26"/>
      <c r="F33" s="94">
        <v>0</v>
      </c>
      <c r="G33" s="24"/>
      <c r="H33" s="177"/>
      <c r="I33" s="177"/>
      <c r="J33" s="178"/>
      <c r="S33" s="3">
        <v>1</v>
      </c>
    </row>
    <row r="34" spans="1:19" s="16" customFormat="1" ht="20.100000000000001" customHeight="1" x14ac:dyDescent="0.25">
      <c r="A34" s="17">
        <v>2.11</v>
      </c>
      <c r="B34" s="25" t="s">
        <v>41</v>
      </c>
      <c r="C34" s="25"/>
      <c r="D34" s="25"/>
      <c r="E34" s="26"/>
      <c r="F34" s="94">
        <v>0</v>
      </c>
      <c r="G34" s="24"/>
      <c r="H34" s="177"/>
      <c r="I34" s="177"/>
      <c r="J34" s="178"/>
      <c r="S34" s="3">
        <v>1</v>
      </c>
    </row>
    <row r="35" spans="1:19" s="16" customFormat="1" ht="20.100000000000001" customHeight="1" x14ac:dyDescent="0.25">
      <c r="A35" s="17">
        <v>2.12</v>
      </c>
      <c r="B35" s="25" t="s">
        <v>42</v>
      </c>
      <c r="C35" s="25"/>
      <c r="D35" s="25"/>
      <c r="E35" s="26"/>
      <c r="F35" s="94">
        <v>0</v>
      </c>
      <c r="G35" s="24"/>
      <c r="H35" s="177"/>
      <c r="I35" s="177"/>
      <c r="J35" s="178"/>
      <c r="S35" s="3">
        <v>1</v>
      </c>
    </row>
    <row r="36" spans="1:19" s="16" customFormat="1" ht="20.100000000000001" customHeight="1" x14ac:dyDescent="0.25">
      <c r="A36" s="17">
        <v>2.13</v>
      </c>
      <c r="B36" s="25" t="s">
        <v>43</v>
      </c>
      <c r="C36" s="25"/>
      <c r="D36" s="25"/>
      <c r="E36" s="26"/>
      <c r="F36" s="94">
        <v>0</v>
      </c>
      <c r="G36" s="24"/>
      <c r="H36" s="177"/>
      <c r="I36" s="177"/>
      <c r="J36" s="178"/>
      <c r="S36" s="3">
        <v>1</v>
      </c>
    </row>
    <row r="37" spans="1:19" s="16" customFormat="1" ht="25.5" customHeight="1" x14ac:dyDescent="0.25">
      <c r="A37" s="225" t="s">
        <v>44</v>
      </c>
      <c r="B37" s="226"/>
      <c r="C37" s="226"/>
      <c r="D37" s="226"/>
      <c r="E37" s="227"/>
      <c r="F37" s="29">
        <f>SUM(F24:F36)</f>
        <v>0</v>
      </c>
      <c r="G37" s="30"/>
      <c r="H37" s="177"/>
      <c r="I37" s="177"/>
      <c r="J37" s="178"/>
      <c r="S37" s="3">
        <v>1</v>
      </c>
    </row>
    <row r="38" spans="1:19" s="16" customFormat="1" ht="24.75" customHeight="1" x14ac:dyDescent="0.25">
      <c r="A38" s="95" t="s">
        <v>45</v>
      </c>
      <c r="B38" s="228" t="s">
        <v>46</v>
      </c>
      <c r="C38" s="228"/>
      <c r="D38" s="228"/>
      <c r="E38" s="228"/>
      <c r="F38" s="96">
        <v>0</v>
      </c>
      <c r="G38" s="22"/>
      <c r="H38" s="177"/>
      <c r="I38" s="177"/>
      <c r="J38" s="178"/>
      <c r="S38" s="3">
        <v>1</v>
      </c>
    </row>
    <row r="39" spans="1:19" s="16" customFormat="1" ht="25.5" customHeight="1" x14ac:dyDescent="0.25">
      <c r="A39" s="97" t="s">
        <v>47</v>
      </c>
      <c r="B39" s="229" t="s">
        <v>48</v>
      </c>
      <c r="C39" s="229"/>
      <c r="D39" s="229"/>
      <c r="E39" s="229"/>
      <c r="F39" s="98">
        <v>0</v>
      </c>
      <c r="G39" s="33"/>
      <c r="H39" s="177"/>
      <c r="I39" s="177"/>
      <c r="J39" s="178"/>
      <c r="S39" s="3">
        <v>1</v>
      </c>
    </row>
    <row r="40" spans="1:19" s="16" customFormat="1" ht="30.75" customHeight="1" thickBot="1" x14ac:dyDescent="0.3">
      <c r="A40" s="97" t="s">
        <v>49</v>
      </c>
      <c r="B40" s="229" t="s">
        <v>50</v>
      </c>
      <c r="C40" s="229"/>
      <c r="D40" s="229"/>
      <c r="E40" s="229"/>
      <c r="F40" s="98">
        <v>0</v>
      </c>
      <c r="G40" s="22"/>
      <c r="H40" s="177"/>
      <c r="I40" s="177"/>
      <c r="J40" s="178"/>
      <c r="S40" s="3">
        <v>1</v>
      </c>
    </row>
    <row r="41" spans="1:19" ht="35.25" customHeight="1" x14ac:dyDescent="0.25">
      <c r="A41" s="170" t="s">
        <v>51</v>
      </c>
      <c r="B41" s="171"/>
      <c r="C41" s="171"/>
      <c r="D41" s="171"/>
      <c r="E41" s="171"/>
      <c r="F41" s="99" t="s">
        <v>52</v>
      </c>
      <c r="G41" s="167"/>
      <c r="H41" s="167"/>
      <c r="I41" s="167"/>
      <c r="J41" s="168"/>
      <c r="L41" s="16"/>
      <c r="M41" s="16"/>
      <c r="N41" s="16"/>
      <c r="S41" s="3">
        <v>1</v>
      </c>
    </row>
    <row r="42" spans="1:19" ht="36.75" customHeight="1" x14ac:dyDescent="0.25">
      <c r="A42" s="100" t="s">
        <v>200</v>
      </c>
      <c r="B42" s="223" t="s">
        <v>201</v>
      </c>
      <c r="C42" s="223"/>
      <c r="D42" s="223"/>
      <c r="E42" s="223"/>
      <c r="F42" s="101">
        <v>0</v>
      </c>
      <c r="G42" s="37"/>
      <c r="H42" s="38"/>
      <c r="I42" s="38"/>
      <c r="J42" s="39"/>
      <c r="K42" s="40"/>
      <c r="L42" s="16"/>
      <c r="M42" s="16"/>
      <c r="N42" s="16"/>
      <c r="S42" s="3">
        <v>1</v>
      </c>
    </row>
    <row r="43" spans="1:19" ht="36.75" customHeight="1" thickBot="1" x14ac:dyDescent="0.3">
      <c r="A43" s="102" t="s">
        <v>202</v>
      </c>
      <c r="B43" s="224" t="s">
        <v>54</v>
      </c>
      <c r="C43" s="224"/>
      <c r="D43" s="224"/>
      <c r="E43" s="224"/>
      <c r="F43" s="103">
        <v>0</v>
      </c>
      <c r="G43" s="43"/>
      <c r="H43" s="44"/>
      <c r="I43" s="44"/>
      <c r="J43" s="45"/>
      <c r="K43" s="40"/>
      <c r="L43" s="16"/>
      <c r="M43" s="16"/>
      <c r="N43" s="16"/>
      <c r="S43" s="3">
        <v>1</v>
      </c>
    </row>
    <row r="44" spans="1:19" ht="37.5" customHeight="1" x14ac:dyDescent="0.25">
      <c r="A44" s="170" t="s">
        <v>55</v>
      </c>
      <c r="B44" s="171"/>
      <c r="C44" s="171"/>
      <c r="D44" s="171"/>
      <c r="E44" s="171"/>
      <c r="F44" s="104" t="s">
        <v>56</v>
      </c>
      <c r="G44" s="167"/>
      <c r="H44" s="167"/>
      <c r="I44" s="167"/>
      <c r="J44" s="168"/>
      <c r="K44" s="40"/>
      <c r="L44" s="16"/>
      <c r="M44" s="16"/>
      <c r="N44" s="16"/>
      <c r="S44" s="3">
        <v>1</v>
      </c>
    </row>
    <row r="45" spans="1:19" ht="28.5" customHeight="1" x14ac:dyDescent="0.25">
      <c r="A45" s="105" t="s">
        <v>203</v>
      </c>
      <c r="B45" s="223" t="s">
        <v>57</v>
      </c>
      <c r="C45" s="223"/>
      <c r="D45" s="223"/>
      <c r="E45" s="223"/>
      <c r="F45" s="106">
        <v>0</v>
      </c>
      <c r="G45" s="47"/>
      <c r="H45" s="48"/>
      <c r="I45" s="48"/>
      <c r="J45" s="49"/>
      <c r="K45" s="40"/>
      <c r="L45" s="16"/>
      <c r="M45" s="16"/>
      <c r="N45" s="16"/>
      <c r="S45" s="3">
        <v>1</v>
      </c>
    </row>
    <row r="46" spans="1:19" ht="30.75" customHeight="1" x14ac:dyDescent="0.25">
      <c r="A46" s="105" t="s">
        <v>204</v>
      </c>
      <c r="B46" s="224" t="s">
        <v>58</v>
      </c>
      <c r="C46" s="224"/>
      <c r="D46" s="224"/>
      <c r="E46" s="224"/>
      <c r="F46" s="106">
        <v>0</v>
      </c>
      <c r="G46" s="47"/>
      <c r="H46" s="48"/>
      <c r="I46" s="48"/>
      <c r="J46" s="49"/>
      <c r="K46" s="40"/>
      <c r="L46" s="16"/>
      <c r="M46" s="16"/>
      <c r="N46" s="16"/>
      <c r="S46" s="3">
        <v>1</v>
      </c>
    </row>
    <row r="47" spans="1:19" ht="30.75" customHeight="1" thickBot="1" x14ac:dyDescent="0.3">
      <c r="A47" s="105" t="s">
        <v>205</v>
      </c>
      <c r="B47" s="224" t="s">
        <v>59</v>
      </c>
      <c r="C47" s="224"/>
      <c r="D47" s="224"/>
      <c r="E47" s="224"/>
      <c r="F47" s="106">
        <v>0</v>
      </c>
      <c r="G47" s="50"/>
      <c r="H47" s="44"/>
      <c r="I47" s="44"/>
      <c r="J47" s="45"/>
      <c r="K47" s="40"/>
      <c r="L47" s="16"/>
      <c r="M47" s="16"/>
      <c r="N47" s="16"/>
      <c r="S47" s="3">
        <v>1</v>
      </c>
    </row>
    <row r="48" spans="1:19" ht="31.5" customHeight="1" x14ac:dyDescent="0.25">
      <c r="A48" s="170" t="s">
        <v>60</v>
      </c>
      <c r="B48" s="171"/>
      <c r="C48" s="171"/>
      <c r="D48" s="171"/>
      <c r="E48" s="171"/>
      <c r="F48" s="104" t="s">
        <v>52</v>
      </c>
      <c r="G48" s="167"/>
      <c r="H48" s="167"/>
      <c r="I48" s="167"/>
      <c r="J48" s="168"/>
      <c r="K48" s="40"/>
      <c r="L48" s="16"/>
      <c r="M48" s="16"/>
      <c r="N48" s="16"/>
      <c r="S48" s="3">
        <v>1</v>
      </c>
    </row>
    <row r="49" spans="1:19" ht="20.100000000000001" customHeight="1" x14ac:dyDescent="0.25">
      <c r="A49" s="17">
        <v>5.0999999999999996</v>
      </c>
      <c r="B49" s="153" t="s">
        <v>61</v>
      </c>
      <c r="C49" s="153"/>
      <c r="D49" s="153"/>
      <c r="E49" s="163"/>
      <c r="F49" s="107">
        <v>0</v>
      </c>
      <c r="G49" s="33"/>
      <c r="H49" s="48"/>
      <c r="I49" s="48"/>
      <c r="J49" s="49"/>
      <c r="K49" s="40"/>
      <c r="S49" s="3">
        <v>1</v>
      </c>
    </row>
    <row r="50" spans="1:19" ht="20.100000000000001" customHeight="1" x14ac:dyDescent="0.25">
      <c r="A50" s="17">
        <v>5.2</v>
      </c>
      <c r="B50" s="153" t="s">
        <v>62</v>
      </c>
      <c r="C50" s="153"/>
      <c r="D50" s="153"/>
      <c r="E50" s="163"/>
      <c r="F50" s="107">
        <v>0</v>
      </c>
      <c r="G50" s="33"/>
      <c r="H50" s="48"/>
      <c r="I50" s="48"/>
      <c r="J50" s="49"/>
      <c r="K50" s="40"/>
      <c r="S50" s="3">
        <v>1</v>
      </c>
    </row>
    <row r="51" spans="1:19" ht="20.100000000000001" customHeight="1" x14ac:dyDescent="0.25">
      <c r="A51" s="17">
        <v>5.3</v>
      </c>
      <c r="B51" s="153" t="s">
        <v>63</v>
      </c>
      <c r="C51" s="153"/>
      <c r="D51" s="153"/>
      <c r="E51" s="163"/>
      <c r="F51" s="107">
        <v>0</v>
      </c>
      <c r="G51" s="33"/>
      <c r="H51" s="48"/>
      <c r="I51" s="48"/>
      <c r="J51" s="49"/>
      <c r="K51" s="40"/>
      <c r="S51" s="3">
        <v>1</v>
      </c>
    </row>
    <row r="52" spans="1:19" ht="20.100000000000001" customHeight="1" x14ac:dyDescent="0.25">
      <c r="A52" s="17">
        <v>5.4</v>
      </c>
      <c r="B52" s="153" t="s">
        <v>64</v>
      </c>
      <c r="C52" s="153"/>
      <c r="D52" s="153"/>
      <c r="E52" s="163"/>
      <c r="F52" s="107">
        <v>0</v>
      </c>
      <c r="G52" s="33"/>
      <c r="H52" s="48"/>
      <c r="I52" s="48"/>
      <c r="J52" s="49"/>
      <c r="K52" s="40"/>
      <c r="S52" s="3">
        <v>1</v>
      </c>
    </row>
    <row r="53" spans="1:19" ht="20.100000000000001" customHeight="1" x14ac:dyDescent="0.25">
      <c r="A53" s="17">
        <v>5.5</v>
      </c>
      <c r="B53" s="153" t="s">
        <v>65</v>
      </c>
      <c r="C53" s="153"/>
      <c r="D53" s="153"/>
      <c r="E53" s="163"/>
      <c r="F53" s="107">
        <v>0</v>
      </c>
      <c r="G53" s="33"/>
      <c r="H53" s="48"/>
      <c r="I53" s="48"/>
      <c r="J53" s="49"/>
      <c r="K53" s="40"/>
      <c r="S53" s="3">
        <v>1</v>
      </c>
    </row>
    <row r="54" spans="1:19" ht="20.100000000000001" customHeight="1" x14ac:dyDescent="0.25">
      <c r="A54" s="17">
        <v>5.6</v>
      </c>
      <c r="B54" s="153" t="s">
        <v>66</v>
      </c>
      <c r="C54" s="153"/>
      <c r="D54" s="153"/>
      <c r="E54" s="163"/>
      <c r="F54" s="107">
        <v>0</v>
      </c>
      <c r="G54" s="33"/>
      <c r="H54" s="48"/>
      <c r="I54" s="48"/>
      <c r="J54" s="49"/>
      <c r="K54" s="40"/>
      <c r="S54" s="3">
        <v>1</v>
      </c>
    </row>
    <row r="55" spans="1:19" ht="20.100000000000001" customHeight="1" x14ac:dyDescent="0.25">
      <c r="A55" s="17">
        <v>5.7</v>
      </c>
      <c r="B55" s="153" t="s">
        <v>67</v>
      </c>
      <c r="C55" s="153"/>
      <c r="D55" s="153"/>
      <c r="E55" s="163"/>
      <c r="F55" s="107">
        <v>0</v>
      </c>
      <c r="G55" s="33"/>
      <c r="H55" s="48"/>
      <c r="I55" s="48"/>
      <c r="J55" s="49"/>
      <c r="K55" s="40"/>
      <c r="S55" s="3">
        <v>1</v>
      </c>
    </row>
    <row r="56" spans="1:19" ht="20.100000000000001" customHeight="1" x14ac:dyDescent="0.25">
      <c r="A56" s="17">
        <v>5.8</v>
      </c>
      <c r="B56" s="153" t="s">
        <v>68</v>
      </c>
      <c r="C56" s="153"/>
      <c r="D56" s="153"/>
      <c r="E56" s="163"/>
      <c r="F56" s="107">
        <v>0</v>
      </c>
      <c r="G56" s="33"/>
      <c r="H56" s="48"/>
      <c r="I56" s="48"/>
      <c r="J56" s="49"/>
      <c r="K56" s="40"/>
      <c r="S56" s="3">
        <v>1</v>
      </c>
    </row>
    <row r="57" spans="1:19" ht="20.100000000000001" customHeight="1" x14ac:dyDescent="0.25">
      <c r="A57" s="17">
        <v>5.9</v>
      </c>
      <c r="B57" s="153" t="s">
        <v>69</v>
      </c>
      <c r="C57" s="153"/>
      <c r="D57" s="153"/>
      <c r="E57" s="163"/>
      <c r="F57" s="107">
        <v>0</v>
      </c>
      <c r="G57" s="33"/>
      <c r="H57" s="48"/>
      <c r="I57" s="48"/>
      <c r="J57" s="49"/>
      <c r="K57" s="40"/>
      <c r="S57" s="3">
        <v>1</v>
      </c>
    </row>
    <row r="58" spans="1:19" ht="20.100000000000001" customHeight="1" x14ac:dyDescent="0.25">
      <c r="A58" s="17" t="s">
        <v>70</v>
      </c>
      <c r="B58" s="153" t="s">
        <v>71</v>
      </c>
      <c r="C58" s="153"/>
      <c r="D58" s="153"/>
      <c r="E58" s="163"/>
      <c r="F58" s="107">
        <v>0</v>
      </c>
      <c r="G58" s="33"/>
      <c r="H58" s="48"/>
      <c r="I58" s="48"/>
      <c r="J58" s="49"/>
      <c r="K58" s="40"/>
      <c r="S58" s="3">
        <v>1</v>
      </c>
    </row>
    <row r="59" spans="1:19" ht="20.100000000000001" customHeight="1" x14ac:dyDescent="0.25">
      <c r="A59" s="17" t="s">
        <v>72</v>
      </c>
      <c r="B59" s="153" t="s">
        <v>73</v>
      </c>
      <c r="C59" s="153"/>
      <c r="D59" s="153"/>
      <c r="E59" s="163"/>
      <c r="F59" s="107">
        <v>0</v>
      </c>
      <c r="G59" s="33"/>
      <c r="H59" s="48"/>
      <c r="I59" s="48"/>
      <c r="J59" s="49"/>
      <c r="K59" s="40"/>
      <c r="S59" s="3">
        <v>1</v>
      </c>
    </row>
    <row r="60" spans="1:19" ht="20.100000000000001" customHeight="1" x14ac:dyDescent="0.25">
      <c r="A60" s="17" t="s">
        <v>74</v>
      </c>
      <c r="B60" s="153" t="s">
        <v>75</v>
      </c>
      <c r="C60" s="153"/>
      <c r="D60" s="153"/>
      <c r="E60" s="153"/>
      <c r="F60" s="36">
        <f>SUM(F61:F63)</f>
        <v>0</v>
      </c>
      <c r="G60" s="33"/>
      <c r="H60" s="48"/>
      <c r="I60" s="48"/>
      <c r="J60" s="49"/>
      <c r="K60" s="40"/>
      <c r="S60" s="3">
        <v>1</v>
      </c>
    </row>
    <row r="61" spans="1:19" ht="20.100000000000001" customHeight="1" x14ac:dyDescent="0.25">
      <c r="A61" s="17" t="s">
        <v>76</v>
      </c>
      <c r="B61" s="153" t="s">
        <v>77</v>
      </c>
      <c r="C61" s="153"/>
      <c r="D61" s="153"/>
      <c r="E61" s="153"/>
      <c r="F61" s="107">
        <v>0</v>
      </c>
      <c r="G61" s="33"/>
      <c r="H61" s="48"/>
      <c r="I61" s="48"/>
      <c r="J61" s="49"/>
      <c r="K61" s="40"/>
      <c r="S61" s="3">
        <v>1</v>
      </c>
    </row>
    <row r="62" spans="1:19" ht="20.100000000000001" customHeight="1" x14ac:dyDescent="0.25">
      <c r="A62" s="17" t="s">
        <v>78</v>
      </c>
      <c r="B62" s="153" t="s">
        <v>79</v>
      </c>
      <c r="C62" s="153"/>
      <c r="D62" s="153"/>
      <c r="E62" s="153"/>
      <c r="F62" s="107">
        <v>0</v>
      </c>
      <c r="G62" s="33"/>
      <c r="H62" s="48"/>
      <c r="I62" s="48"/>
      <c r="J62" s="49"/>
      <c r="K62" s="40"/>
      <c r="S62" s="3">
        <v>1</v>
      </c>
    </row>
    <row r="63" spans="1:19" ht="20.100000000000001" customHeight="1" x14ac:dyDescent="0.25">
      <c r="A63" s="17" t="s">
        <v>80</v>
      </c>
      <c r="B63" s="153" t="s">
        <v>81</v>
      </c>
      <c r="C63" s="153"/>
      <c r="D63" s="153"/>
      <c r="E63" s="153"/>
      <c r="F63" s="107">
        <v>0</v>
      </c>
      <c r="G63" s="33"/>
      <c r="H63" s="48"/>
      <c r="I63" s="48"/>
      <c r="J63" s="49"/>
      <c r="K63" s="40"/>
      <c r="S63" s="3">
        <v>1</v>
      </c>
    </row>
    <row r="64" spans="1:19" ht="20.100000000000001" customHeight="1" x14ac:dyDescent="0.25">
      <c r="A64" s="17">
        <v>5.13</v>
      </c>
      <c r="B64" s="153" t="s">
        <v>82</v>
      </c>
      <c r="C64" s="153"/>
      <c r="D64" s="153"/>
      <c r="E64" s="153"/>
      <c r="F64" s="107">
        <v>0</v>
      </c>
      <c r="G64" s="33"/>
      <c r="H64" s="48"/>
      <c r="I64" s="48"/>
      <c r="J64" s="49"/>
      <c r="K64" s="40"/>
      <c r="S64" s="3">
        <v>1</v>
      </c>
    </row>
    <row r="65" spans="1:19" ht="25.5" customHeight="1" thickBot="1" x14ac:dyDescent="0.3">
      <c r="A65" s="154" t="s">
        <v>83</v>
      </c>
      <c r="B65" s="155"/>
      <c r="C65" s="155"/>
      <c r="D65" s="155"/>
      <c r="E65" s="156"/>
      <c r="F65" s="29">
        <f>SUM(F49:F64)-F60</f>
        <v>0</v>
      </c>
      <c r="G65" s="43"/>
      <c r="H65" s="44"/>
      <c r="I65" s="44"/>
      <c r="J65" s="45"/>
      <c r="K65" s="40"/>
      <c r="S65" s="3">
        <v>1</v>
      </c>
    </row>
    <row r="66" spans="1:19" ht="30.75" customHeight="1" x14ac:dyDescent="0.25">
      <c r="A66" s="108" t="s">
        <v>84</v>
      </c>
      <c r="B66" s="109"/>
      <c r="C66" s="109"/>
      <c r="D66" s="109"/>
      <c r="E66" s="109"/>
      <c r="F66" s="109"/>
      <c r="G66" s="109"/>
      <c r="H66" s="109"/>
      <c r="I66" s="109"/>
      <c r="J66" s="121"/>
      <c r="S66" s="3">
        <v>1</v>
      </c>
    </row>
    <row r="67" spans="1:19" s="55" customFormat="1" ht="28.35" customHeight="1" x14ac:dyDescent="0.25">
      <c r="A67" s="157" t="s">
        <v>85</v>
      </c>
      <c r="B67" s="158"/>
      <c r="C67" s="158"/>
      <c r="D67" s="159"/>
      <c r="E67" s="128" t="s">
        <v>86</v>
      </c>
      <c r="F67" s="160"/>
      <c r="G67" s="160"/>
      <c r="H67" s="129"/>
      <c r="I67" s="161" t="s">
        <v>87</v>
      </c>
      <c r="J67" s="162"/>
      <c r="S67" s="3">
        <v>1</v>
      </c>
    </row>
    <row r="68" spans="1:19" s="58" customFormat="1" ht="25.5" x14ac:dyDescent="0.25">
      <c r="A68" s="151" t="s">
        <v>88</v>
      </c>
      <c r="B68" s="152"/>
      <c r="C68" s="152" t="s">
        <v>89</v>
      </c>
      <c r="D68" s="152"/>
      <c r="E68" s="56" t="s">
        <v>90</v>
      </c>
      <c r="F68" s="152" t="s">
        <v>91</v>
      </c>
      <c r="G68" s="152"/>
      <c r="H68" s="152"/>
      <c r="I68" s="56" t="s">
        <v>206</v>
      </c>
      <c r="J68" s="57" t="s">
        <v>93</v>
      </c>
      <c r="S68" s="3">
        <v>1</v>
      </c>
    </row>
    <row r="69" spans="1:19" s="58" customFormat="1" ht="36" customHeight="1" x14ac:dyDescent="0.25">
      <c r="A69" s="144" t="s">
        <v>207</v>
      </c>
      <c r="B69" s="145"/>
      <c r="C69" s="146"/>
      <c r="D69" s="145"/>
      <c r="E69" s="59" t="s">
        <v>208</v>
      </c>
      <c r="F69" s="147"/>
      <c r="G69" s="147"/>
      <c r="H69" s="147"/>
      <c r="I69" s="60"/>
      <c r="J69" s="61"/>
      <c r="S69" s="3">
        <v>1</v>
      </c>
    </row>
    <row r="70" spans="1:19" s="58" customFormat="1" ht="36" customHeight="1" x14ac:dyDescent="0.25">
      <c r="A70" s="144"/>
      <c r="B70" s="145"/>
      <c r="C70" s="146"/>
      <c r="D70" s="145"/>
      <c r="E70" s="59"/>
      <c r="F70" s="147"/>
      <c r="G70" s="147"/>
      <c r="H70" s="147"/>
      <c r="I70" s="60"/>
      <c r="J70" s="61"/>
      <c r="S70" s="3">
        <v>1</v>
      </c>
    </row>
    <row r="71" spans="1:19" s="58" customFormat="1" ht="36" customHeight="1" thickBot="1" x14ac:dyDescent="0.3">
      <c r="A71" s="144"/>
      <c r="B71" s="145"/>
      <c r="C71" s="148"/>
      <c r="D71" s="149"/>
      <c r="E71" s="59"/>
      <c r="F71" s="150"/>
      <c r="G71" s="150"/>
      <c r="H71" s="150"/>
      <c r="I71" s="63"/>
      <c r="J71" s="64"/>
      <c r="S71" s="3">
        <v>1</v>
      </c>
    </row>
    <row r="72" spans="1:19" ht="27.75" customHeight="1" x14ac:dyDescent="0.25">
      <c r="A72" s="108" t="s">
        <v>94</v>
      </c>
      <c r="B72" s="109"/>
      <c r="C72" s="109"/>
      <c r="D72" s="109"/>
      <c r="E72" s="109"/>
      <c r="F72" s="109"/>
      <c r="G72" s="109"/>
      <c r="H72" s="109"/>
      <c r="I72" s="109"/>
      <c r="J72" s="121"/>
      <c r="S72" s="3">
        <v>1</v>
      </c>
    </row>
    <row r="73" spans="1:19" s="58" customFormat="1" ht="43.5" customHeight="1" x14ac:dyDescent="0.25">
      <c r="A73" s="122" t="s">
        <v>95</v>
      </c>
      <c r="B73" s="123"/>
      <c r="C73" s="124"/>
      <c r="D73" s="56" t="s">
        <v>96</v>
      </c>
      <c r="E73" s="19" t="s">
        <v>97</v>
      </c>
      <c r="F73" s="19" t="s">
        <v>98</v>
      </c>
      <c r="G73" s="128" t="s">
        <v>99</v>
      </c>
      <c r="H73" s="129"/>
      <c r="I73" s="56" t="s">
        <v>100</v>
      </c>
      <c r="J73" s="130"/>
      <c r="S73" s="3">
        <v>1</v>
      </c>
    </row>
    <row r="74" spans="1:19" s="58" customFormat="1" ht="24.95" customHeight="1" x14ac:dyDescent="0.25">
      <c r="A74" s="125"/>
      <c r="B74" s="126"/>
      <c r="C74" s="127"/>
      <c r="D74" s="65">
        <v>0</v>
      </c>
      <c r="E74" s="65">
        <v>0</v>
      </c>
      <c r="F74" s="65">
        <v>0</v>
      </c>
      <c r="G74" s="132">
        <v>0</v>
      </c>
      <c r="H74" s="133"/>
      <c r="I74" s="66">
        <f>SUM(D74:H74)</f>
        <v>0</v>
      </c>
      <c r="J74" s="130"/>
      <c r="S74" s="3">
        <v>1</v>
      </c>
    </row>
    <row r="75" spans="1:19" s="58" customFormat="1" ht="24" customHeight="1" x14ac:dyDescent="0.25">
      <c r="A75" s="134" t="s">
        <v>101</v>
      </c>
      <c r="B75" s="135"/>
      <c r="C75" s="136"/>
      <c r="D75" s="67" t="s">
        <v>102</v>
      </c>
      <c r="E75" s="67" t="s">
        <v>103</v>
      </c>
      <c r="F75" s="68"/>
      <c r="G75" s="140"/>
      <c r="H75" s="141"/>
      <c r="I75" s="68"/>
      <c r="J75" s="130"/>
      <c r="S75" s="3">
        <v>1</v>
      </c>
    </row>
    <row r="76" spans="1:19" s="58" customFormat="1" ht="24.95" customHeight="1" thickBot="1" x14ac:dyDescent="0.3">
      <c r="A76" s="137"/>
      <c r="B76" s="138"/>
      <c r="C76" s="139"/>
      <c r="D76" s="69">
        <v>0</v>
      </c>
      <c r="E76" s="69">
        <v>0</v>
      </c>
      <c r="F76" s="69"/>
      <c r="G76" s="142"/>
      <c r="H76" s="143"/>
      <c r="I76" s="70">
        <f>SUM(D76:H76)</f>
        <v>0</v>
      </c>
      <c r="J76" s="131"/>
      <c r="S76" s="3">
        <v>1</v>
      </c>
    </row>
    <row r="77" spans="1:19" ht="30" customHeight="1" thickBot="1" x14ac:dyDescent="0.3">
      <c r="A77" s="209" t="s">
        <v>104</v>
      </c>
      <c r="B77" s="210"/>
      <c r="C77" s="210"/>
      <c r="D77" s="210"/>
      <c r="E77" s="210"/>
      <c r="F77" s="210"/>
      <c r="G77" s="210"/>
      <c r="H77" s="210"/>
      <c r="I77" s="210"/>
      <c r="J77" s="211"/>
      <c r="S77" s="3">
        <v>1</v>
      </c>
    </row>
    <row r="78" spans="1:19" ht="152.25" customHeight="1" x14ac:dyDescent="0.25">
      <c r="A78" s="212"/>
      <c r="B78" s="213"/>
      <c r="C78" s="213"/>
      <c r="D78" s="214"/>
      <c r="E78" s="214"/>
      <c r="F78" s="214"/>
      <c r="G78" s="215"/>
      <c r="H78" s="213"/>
      <c r="I78" s="216"/>
      <c r="J78" s="217"/>
      <c r="S78" s="3">
        <v>1</v>
      </c>
    </row>
    <row r="79" spans="1:19" ht="24" customHeight="1" thickBot="1" x14ac:dyDescent="0.3">
      <c r="A79" s="114"/>
      <c r="B79" s="115"/>
      <c r="C79" s="115"/>
      <c r="D79" s="116"/>
      <c r="E79" s="218"/>
      <c r="F79" s="219"/>
      <c r="G79" s="218"/>
      <c r="H79" s="220"/>
      <c r="I79" s="221"/>
      <c r="J79" s="222"/>
      <c r="S79" s="3">
        <v>1</v>
      </c>
    </row>
  </sheetData>
  <mergeCells count="131">
    <mergeCell ref="A4:C4"/>
    <mergeCell ref="D4:E4"/>
    <mergeCell ref="F4:F5"/>
    <mergeCell ref="G4:J4"/>
    <mergeCell ref="A5:C5"/>
    <mergeCell ref="D5:E5"/>
    <mergeCell ref="G5:J5"/>
    <mergeCell ref="D1:H1"/>
    <mergeCell ref="I1:J1"/>
    <mergeCell ref="A2:C2"/>
    <mergeCell ref="D2:E2"/>
    <mergeCell ref="G2:H2"/>
    <mergeCell ref="A3:C3"/>
    <mergeCell ref="D3:E3"/>
    <mergeCell ref="G3:H3"/>
    <mergeCell ref="A9:C9"/>
    <mergeCell ref="D9:E9"/>
    <mergeCell ref="F9:G9"/>
    <mergeCell ref="H9:I9"/>
    <mergeCell ref="A10:C10"/>
    <mergeCell ref="D10:E10"/>
    <mergeCell ref="F10:G10"/>
    <mergeCell ref="H10:I10"/>
    <mergeCell ref="A6:C6"/>
    <mergeCell ref="D6:J6"/>
    <mergeCell ref="A7:J7"/>
    <mergeCell ref="A8:C8"/>
    <mergeCell ref="D8:E8"/>
    <mergeCell ref="F8:G8"/>
    <mergeCell ref="H8:I8"/>
    <mergeCell ref="A13:C13"/>
    <mergeCell ref="D13:E13"/>
    <mergeCell ref="F13:G13"/>
    <mergeCell ref="H13:I13"/>
    <mergeCell ref="A14:C14"/>
    <mergeCell ref="D14:E14"/>
    <mergeCell ref="F14:G14"/>
    <mergeCell ref="H14:I14"/>
    <mergeCell ref="A11:C11"/>
    <mergeCell ref="D11:E11"/>
    <mergeCell ref="F11:G11"/>
    <mergeCell ref="H11:I11"/>
    <mergeCell ref="A12:C12"/>
    <mergeCell ref="D12:E12"/>
    <mergeCell ref="F12:G12"/>
    <mergeCell ref="H12:I12"/>
    <mergeCell ref="H17:I17"/>
    <mergeCell ref="A18:J18"/>
    <mergeCell ref="A19:C19"/>
    <mergeCell ref="H19:J40"/>
    <mergeCell ref="B20:C20"/>
    <mergeCell ref="B21:C21"/>
    <mergeCell ref="B22:C22"/>
    <mergeCell ref="A15:C15"/>
    <mergeCell ref="D15:E15"/>
    <mergeCell ref="F15:G15"/>
    <mergeCell ref="H15:I15"/>
    <mergeCell ref="A16:C16"/>
    <mergeCell ref="D16:E16"/>
    <mergeCell ref="F16:G16"/>
    <mergeCell ref="H16:I16"/>
    <mergeCell ref="A23:E23"/>
    <mergeCell ref="B24:E24"/>
    <mergeCell ref="A37:E37"/>
    <mergeCell ref="B38:E38"/>
    <mergeCell ref="B39:E39"/>
    <mergeCell ref="B40:E40"/>
    <mergeCell ref="A17:C17"/>
    <mergeCell ref="D17:E17"/>
    <mergeCell ref="F17:G17"/>
    <mergeCell ref="B45:E45"/>
    <mergeCell ref="B46:E46"/>
    <mergeCell ref="B47:E47"/>
    <mergeCell ref="A48:E48"/>
    <mergeCell ref="G48:J48"/>
    <mergeCell ref="B49:E49"/>
    <mergeCell ref="A41:E41"/>
    <mergeCell ref="G41:J41"/>
    <mergeCell ref="B42:E42"/>
    <mergeCell ref="B43:E43"/>
    <mergeCell ref="A44:E44"/>
    <mergeCell ref="G44:J44"/>
    <mergeCell ref="B56:E56"/>
    <mergeCell ref="B57:E57"/>
    <mergeCell ref="B58:E58"/>
    <mergeCell ref="B59:E59"/>
    <mergeCell ref="B60:E60"/>
    <mergeCell ref="B61:E61"/>
    <mergeCell ref="B50:E50"/>
    <mergeCell ref="B51:E51"/>
    <mergeCell ref="B52:E52"/>
    <mergeCell ref="B53:E53"/>
    <mergeCell ref="B54:E54"/>
    <mergeCell ref="B55:E55"/>
    <mergeCell ref="A68:B68"/>
    <mergeCell ref="C68:D68"/>
    <mergeCell ref="F68:H68"/>
    <mergeCell ref="A69:B69"/>
    <mergeCell ref="C69:D69"/>
    <mergeCell ref="F69:H69"/>
    <mergeCell ref="B62:E62"/>
    <mergeCell ref="B63:E63"/>
    <mergeCell ref="B64:E64"/>
    <mergeCell ref="A65:E65"/>
    <mergeCell ref="A66:J66"/>
    <mergeCell ref="A67:D67"/>
    <mergeCell ref="E67:H67"/>
    <mergeCell ref="I67:J67"/>
    <mergeCell ref="A72:J72"/>
    <mergeCell ref="A73:C74"/>
    <mergeCell ref="G73:H73"/>
    <mergeCell ref="J73:J76"/>
    <mergeCell ref="G74:H74"/>
    <mergeCell ref="A75:C76"/>
    <mergeCell ref="G75:H75"/>
    <mergeCell ref="G76:H76"/>
    <mergeCell ref="A70:B70"/>
    <mergeCell ref="C70:D70"/>
    <mergeCell ref="F70:H70"/>
    <mergeCell ref="A71:B71"/>
    <mergeCell ref="C71:D71"/>
    <mergeCell ref="F71:H71"/>
    <mergeCell ref="A77:J77"/>
    <mergeCell ref="A78:D78"/>
    <mergeCell ref="E78:F78"/>
    <mergeCell ref="G78:H78"/>
    <mergeCell ref="I78:J78"/>
    <mergeCell ref="A79:D79"/>
    <mergeCell ref="E79:F79"/>
    <mergeCell ref="G79:H79"/>
    <mergeCell ref="I79:J79"/>
  </mergeCells>
  <dataValidations count="3">
    <dataValidation type="list" allowBlank="1" showInputMessage="1" showErrorMessage="1" sqref="I69:I71" xr:uid="{DA5AD610-C837-4DEB-A66E-2A6522459FF3}">
      <formula1>"Abierta,Cerrada"</formula1>
    </dataValidation>
    <dataValidation type="list" allowBlank="1" showInputMessage="1" showErrorMessage="1" sqref="A69:B71" xr:uid="{336C52F5-8019-4C0F-B414-68DBB2147EBE}">
      <formula1>"AV,CI"</formula1>
    </dataValidation>
    <dataValidation type="list" allowBlank="1" showInputMessage="1" showErrorMessage="1" sqref="E69:E71" xr:uid="{5C920D0F-625E-47EF-A985-F5E533A5B83A}">
      <formula1>"Correctiva,Preventiva, Mejora"</formula1>
    </dataValidation>
  </dataValidations>
  <printOptions horizontalCentered="1" verticalCentered="1"/>
  <pageMargins left="0.11811023622047245" right="0.19685039370078741" top="0.15748031496062992" bottom="0.15748031496062992" header="0.31496062992125984" footer="0.31496062992125984"/>
  <pageSetup paperSize="9" scale="60" fitToHeight="2" orientation="portrait" horizontalDpi="360" verticalDpi="360" r:id="rId1"/>
  <rowBreaks count="1" manualBreakCount="1">
    <brk id="40" max="9"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C4FE0BB0-18CE-4F3D-BA70-CB1046062DD8}">
          <x14:formula1>
            <xm:f>Trabajadores!$B$2:$B$165</xm:f>
          </x14:formula1>
          <xm:sqref>A8 D8 F8 H8 J8 A9 D9 F9 H9 J9 A10 D10 F10 H10 J10 A11 D11 F11 H11 J11 A12 D12 F12 H12 J12 A13 D13 F13 H13 J13 A14 D14 F14 H14 J14 A15 D15 F15 H15 J15 A16 D16 F16 H16 J16 A17 D17 F17 H17 J17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9</vt:i4>
      </vt:variant>
    </vt:vector>
  </HeadingPairs>
  <TitlesOfParts>
    <vt:vector size="19" baseType="lpstr">
      <vt:lpstr>Trabajadores</vt:lpstr>
      <vt:lpstr>Resumen HSE</vt:lpstr>
      <vt:lpstr>Frente 1</vt:lpstr>
      <vt:lpstr>Frente 2</vt:lpstr>
      <vt:lpstr>Frente 3</vt:lpstr>
      <vt:lpstr>Frente 4</vt:lpstr>
      <vt:lpstr>Frente 5</vt:lpstr>
      <vt:lpstr>Frente 6</vt:lpstr>
      <vt:lpstr>Frente 7</vt:lpstr>
      <vt:lpstr>Frente 8</vt:lpstr>
      <vt:lpstr>'Frente 1'!Área_de_impresión</vt:lpstr>
      <vt:lpstr>'Frente 2'!Área_de_impresión</vt:lpstr>
      <vt:lpstr>'Frente 3'!Área_de_impresión</vt:lpstr>
      <vt:lpstr>'Frente 4'!Área_de_impresión</vt:lpstr>
      <vt:lpstr>'Frente 5'!Área_de_impresión</vt:lpstr>
      <vt:lpstr>'Frente 6'!Área_de_impresión</vt:lpstr>
      <vt:lpstr>'Frente 7'!Área_de_impresión</vt:lpstr>
      <vt:lpstr>'Frente 8'!Área_de_impresión</vt:lpstr>
      <vt:lpstr>'Resumen HSE'!Área_de_impresión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 Monroy</dc:creator>
  <cp:lastModifiedBy>Luis Monroy</cp:lastModifiedBy>
  <dcterms:created xsi:type="dcterms:W3CDTF">2024-05-23T20:51:21Z</dcterms:created>
  <dcterms:modified xsi:type="dcterms:W3CDTF">2024-05-23T20:51:25Z</dcterms:modified>
</cp:coreProperties>
</file>